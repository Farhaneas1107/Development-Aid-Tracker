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Salam\Desktop\"/>
    </mc:Choice>
  </mc:AlternateContent>
  <xr:revisionPtr revIDLastSave="0" documentId="13_ncr:1_{41ABC35E-3C96-4480-A794-541262C69308}" xr6:coauthVersionLast="47" xr6:coauthVersionMax="47" xr10:uidLastSave="{00000000-0000-0000-0000-000000000000}"/>
  <bookViews>
    <workbookView xWindow="-120" yWindow="-120" windowWidth="29040" windowHeight="17520" xr2:uid="{00000000-000D-0000-FFFF-FFFF00000000}"/>
  </bookViews>
  <sheets>
    <sheet name="Project Opportunity Tracker" sheetId="1" r:id="rId1"/>
    <sheet name="Opportunity Dashboard &amp; KPIs" sheetId="2" r:id="rId2"/>
  </sheets>
  <definedNames>
    <definedName name="_xlnm._FilterDatabase" localSheetId="0" hidden="1">'Project Opportunity Tracker'!$A$4:$J$11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2" i="2" l="1"/>
  <c r="H12" i="2"/>
  <c r="G12" i="2"/>
  <c r="F12" i="2"/>
  <c r="J11" i="2"/>
  <c r="J12" i="2" s="1"/>
  <c r="J10" i="2"/>
  <c r="J9" i="2"/>
  <c r="J8" i="2"/>
  <c r="J7" i="2"/>
  <c r="J6" i="2"/>
  <c r="J5" i="2"/>
</calcChain>
</file>

<file path=xl/sharedStrings.xml><?xml version="1.0" encoding="utf-8"?>
<sst xmlns="http://schemas.openxmlformats.org/spreadsheetml/2006/main" count="383" uniqueCount="316">
  <si>
    <t>NAUE GEOSYNTHETICS — INTERNATIONAL DEVELOPMENT AID PROJECT OPPORTUNITY TRACKER</t>
  </si>
  <si>
    <t>Comprehensive Project-Level Review of All 7 Programs Identified Across the Shared Documents | Technical Scope, Opportunity Counts &amp; Geosynthetic Relevance (Low to Very High)</t>
  </si>
  <si>
    <t>Folder Name</t>
  </si>
  <si>
    <t>Project Country</t>
  </si>
  <si>
    <t>Project Location</t>
  </si>
  <si>
    <t>Project Coordinates</t>
  </si>
  <si>
    <t>Tender Reference</t>
  </si>
  <si>
    <t>Tender Title</t>
  </si>
  <si>
    <t>Procuring Organisation</t>
  </si>
  <si>
    <t>Technical Scope</t>
  </si>
  <si>
    <t>Procurement and Implementation Timeline</t>
  </si>
  <si>
    <t>Relevance to Naue</t>
  </si>
  <si>
    <t>Development Aid</t>
  </si>
  <si>
    <t>Yemen</t>
  </si>
  <si>
    <t>Tuban District, Lahj Governorate (Wadi Tuban Delta: Al-Homida, Al-Ta'alab, Al-Kdad, Al-Feuosh, Dar Al-Manasra, Al-Ma'labiya, Al-Hubail sub-districts &amp; surrounding villages); Bid delivery: Khormaksar, Aden</t>
  </si>
  <si>
    <t>Multiple coordinates across 8 canals from 13.017546° N, 44.964927° E to 13.149255° N, 44.822368° E:
• LT-C1 (Obar Al-Hadharim): 13.083992°N, 44.887034°E to 13.076197°N, 44.910712°E
• LT-C2 (Al-Tha'alab): 13.101580°N, 44.864202°E to 13.081361°N, 44.899504°E
• LT-C3 (Obar Al-Ihssan): 13.144920°N, 44.833240°E to 13.145310°N, 44.834551°E
• LT-C4 (Obar Fareed): 13.148700°N, 44.822570°E to 13.148449°N, 44.822818°E
• LT-C5 (Obar Al-Makharij): 13.143140°N, 44.830860°E to 13.143061°N, 44.830835°E
• Int. 6 (Falaj Al-Ninoh): 13.122183°N, 44.847393°E to 13.122023°N, 44.848076°E
• Int. 7 (Al-Fiyah &amp; Al-Faqih): 13.053400°N, 44.861720°E to 13.042630°N, 44.864340°E
• Int. 8 (Al-Fardhah): 13.017546°N, 44.964927°E to 13.018560°N, 44.965545°E</t>
  </si>
  <si>
    <t>Package 7 (Package 07; Canal Codes LT-C1 to LT-C5 &amp; Interventions 6 to 8)</t>
  </si>
  <si>
    <t>Integrated Water Resources Management to Enhance Resilience of Agriculture (ERA) and Food Security – Wadi Tuban Flood Response Interventions</t>
  </si>
  <si>
    <t>United Nations Development Programme (UNDP Yemen Sub-office, Khormaksar, Aden), financed by German Development Bank (KfW) / German Cooperation; Engineering Design by Ras Alqemah Development Consultancy</t>
  </si>
  <si>
    <t>Civil and hydraulic rehabilitation across 8 primary and secondary irrigation canals serving &gt;3,397 hectares of agricultural land in the Wadi Tuban Delta:
1. Protection Gabion Walls &amp; Aprons: Construction of stepped gabion walls (4.0m–5.0m base width, 1.0m stepped tiers) and gabion aprons to protect canal intakes against wadi flash floods (LT-C4, LT-C5).
2. Geotextile Filter Cloth &amp; Embankments: Installation of FILTER CLOTH behind gabion structures and beneath compacted soil embankments (10 cm compacted layers) (LT-C4).
3. Earth Canal Side Slope Reconstruction: Re-profiling and slope reconstruction (1.5:1 slope geometry) along 100m+ canal reaches (LT-C1, Al-Fiyah &amp; Al-Faqih).
4. Concrete Guide Walls &amp; Hydraulic Structures: 65.5m concrete guide walls with expansion joints every 5m, Al-Tha'alab Weir rehabilitation, sediment/tree clearance, and maintenance of 25 hydraulic gates across 11 gate stations (LT-C2, LT-C3, Falaj Al-Ninoh, Al-Fardhah).</t>
  </si>
  <si>
    <t>Final Civil Work Drawings issued: March 2026.
Status: Active tender stage (Original bid security/documents to be delivered physically to UNDP Yemen Sub-office in Khormaksar, Aden prior to submission deadline).</t>
  </si>
  <si>
    <t>VERY HIGH RELEVANCE — 8 Direct Opportunities (across 8 canal interventions under 1 bundled civil works tender):
• Why it matters: Engineering drawings explicitly specify 'FILTER CLOTH' between compacted soil embankments and Protection Gabion Walls/Aprons, alongside 100m earth canal side slope reconstructions.
• Breakdown of Opportunities:
  - 4 Very High / High Opportunities (LT-C4 Obar Fareed, LT-C5 Obar Al-Makharij, LT-C1 Obar Al-Hadharim, Int. 7 Al-Fiyah &amp; Al-Faqih): Direct supply of nonwoven filtration/separation geotextiles (Secutex®) behind gabions and erosion control/turf reinforcement mats (Secumat®) or canal liners (Carbofol®/Bentofix®) on reconstructed 1.5:1 earth slopes.
  - 4 Medium-to-High Opportunities (LT-C2 Al-Tha'alab Weir &amp; 25 Gates, LT-C3 Obar Al-Ihssan, Int. 6 Falaj Al-Ninoh, Int. 8 Al-Fardhah): Scour protection and foundation filtration geotextiles around weir aprons and gate structures.</t>
  </si>
  <si>
    <t>Palestine (West Bank)</t>
  </si>
  <si>
    <t>West Bank — Specifically:
1. Zahrat Al-Finjan Sanitary Landfill (Jenin Governorate, Northern West Bank)
2. Al-Minya Sanitary Landfill (Bethlehem / Hebron area, Southern West Bank)
3. Regional solid waste collection systems across the West Bank</t>
  </si>
  <si>
    <t>Not explicitly stated in procurement notice text (Standard site coordinates: Zahrat Al-Finjan ~32.388° N, 35.197° E; Al-Minya ~31.621° N, 35.228° E)</t>
  </si>
  <si>
    <t>SPN-July 2025 (2 Packages) &amp;
SPN-May 2026 (1 Package)</t>
  </si>
  <si>
    <t>West Bank Solid Waste Management &amp; Sanitary Landfill Infrastructure Program (Rehabilitation of Existing Cells, Construction of New Cells, and Gas &amp; Leachate Collection/Treatment Systems at Zahrat Al-Finjan and Al-Minya Landfills)</t>
  </si>
  <si>
    <t>International Development Aid / World Bank-Supported Palestinian Solid Waste Management Authorities (Specific Procurement Notices SPN-July 2025 &amp; SPN-May 2026)</t>
  </si>
  <si>
    <t>Program comprises 3 distinct procurement packages targeting solid waste and sanitary landfill infrastructure across the West Bank:
1. Detailed Design Package (SPN-July 2025): Detailed engineering design for the rehabilitation of existing landfill cells, construction of new sanitary landfill cells, and installation of landfill gas (LFG) collection and leachate collection/treatment systems at both (1) Zahrat Al-Finjan Landfill and (2) Al-Minya Landfill.
2. Construction Supervision Package (SPN-May 2026): Engineering supervision for the rehabilitation of existing cells, construction of new cells, and installation of gas collection and leachate collection/treatment systems at Zahrat Al-Finjan Landfill.
3. Collection Optimization Study (SPN-July 2025): Detailed study on optimizing solid waste collection across the West Bank.</t>
  </si>
  <si>
    <t>Specific Procurement Notices (SPN) scheduled for:
• July 2025: Detailed Study on Solid Waste Collection &amp; Detailed Design for Zahrat Al-Finjan and Al-Minya Landfills.
• May 2026: Construction Supervision for Zahrat Al-Finjan Landfill (with physical civil works execution following design completion).</t>
  </si>
  <si>
    <t>VERY HIGH RELEVANCE — 2 High-Impact Core Business Opportunities (out of 3 tender packages, covering 2 major sanitary landfills):
• Why it matters: Sanitary landfill cell construction, old cell capping/rehabilitation, landfill gas collection, and leachate collection/treatment ponds are Naue's core flagship market.
• Breakdown of Opportunities:
  - 2 Very High Opportunities (Detailed Design SPN-July 2025 &amp; Supervision SPN-May 2026 for Zahrat Al-Finjan and Al-Minya Landfills): Immediate opportunity to engage the appointed design and supervision consultants to specify Naue's complete landfill containment system into the tender Bill of Quantities (BoQ)—including Carbofol® HDPE geomembranes (basal liners &amp; capping), Bentofix® GCLs (secondary mineral barrier), Secutex® heavy-duty cushion/protection geotextiles, and Secudrain® geocomposites (leachate collection &amp; landfill gas drainage layers).
  - 1 No-Relevance Package: Solid waste collection routing/optimization study.</t>
  </si>
  <si>
    <t>Iraq</t>
  </si>
  <si>
    <t>18 Governorates across Iraq: Basra, Duhok, Thiqar, Kirkuk, Sulaymaniyah, Al-Muthanna, Nineveh (incl. Sinjar), Al-Najaf, Saladin, Karbala, Erbil, Babylon, Diyala, Maysan, Baghdad, Wasit, Anbar, and Al-Diwaniyah (covering &gt;150 rural villages)</t>
  </si>
  <si>
    <t>Not specified in World Bank STEP procurement plan tables</t>
  </si>
  <si>
    <t>Loan / Credit No. IBRD / 88270
(86 individual sub-project activity codes across BSR, DHK, THI, KIR, SUL, MUT, NIN/SNJ, NJF, SAL, KRB, ERB, BAB, DLA, MAY, BAG, WST, ANR, DIW, GOOD, NGO, PMT, CS)</t>
  </si>
  <si>
    <t>Iraq Social Fund for Development (SFD) – Financing Community Sub-Projects &amp; Capacity Building and Institutional Development</t>
  </si>
  <si>
    <t>Government of Iraq (Social Fund for Development / Ministry of Planning), financed by The World Bank (Loan IBRD / 88270) via Request for Bids (RFB) and Request for Quotations (RFQ) - Open National 1-Envelope Process</t>
  </si>
  <si>
    <t>Multi-year, nationwide community infrastructure program comprising 86 procurement packages across 5 sectors (totaling &gt;US$ 42.5 Million in documented sub-projects):
1. Rural &amp; Village Roads, Bridges &amp; Box Culverts (20 Works Tenders, ~US$ 24.8M): Construction and paving of village road networks across Basra, Sulaymaniyah, Nineveh/Sinjar, Erbil, Babylon (BAB-03-1, BAB-03-2, BAB-03-9), Al-Muthanna (MUT-02-1, MUT-03-2), Kirkuk, Duhok, and Maysan; plus 1 vehicular concrete bridge &amp; 1 pedestrian steel bridge in Diyala (DLA-02-1), 1 vehicular steel bridge &amp; 2 pedestrian bridges in Al-Najaf (NJF-02-2), and 5 box culverts in Sinjar (SNJ-02-5).
2. Water Treatment Units, Conveyor Pipelines &amp; Rainwater Networks (12 Works Tenders, ~US$ 4.9M): Construction of compact water units (up to 100 m³/hr), water intake/conveyor lines, potable water distribution networks, and village rainwater drainage networks (Kirkuk KIR-03-3/03-5 &amp; KIR-04-3, Duhok DHK-03-5, Basra BSR-02-2 &amp; BSR-03-1 to 03-3, Erbil ERB-02-3/02-4, Diyala DLA-02-3, Nineveh NIN-03-14, Anbar ANR-03-3, Maysan MAY-03-7).
3. Schools, Health Centers &amp; Playgrounds (20 Works Tenders, ~US$ 12.7M): Construction/expansion of 6- to 12-classroom schools (incl. KIR-04-4, SAL.01-6, SAL.01-4, THI-03-6, NEW-WST-02-1/02-2, NEW-DIW-03-5), rural health clinics, and village playgrounds.
4. Electricity Network Rehabilitation (15 Works Tenders, ~US$ 6.4M): Rehabilitation of 11kV village power lines and transformers.
5. Goods &amp; Consulting Services (19 Packages, ~US$ 1.1M): 12 IT/office equipment/drone RFQs (GOOD-01-1 to 01-12) and 7 NGO community mobilization, engineering supervision, and audit contracts.</t>
  </si>
  <si>
    <t>Multi-phase rolling procurement from May 2018 through June 2026:
• Active / Late-Stage Works (2024–2026): Babylon roads (BAB-03-1, BAB-03-2, BAB-03-9 completing Nov 2025), Al-Muthanna roads (MUT-03-2 completing June 2026), Sulaymaniyah roads (SUL-03-4, SUL-03-7, NEW-SUL-03-4 completing 2025–2026), Nineveh/Anbar/Kirkuk/Maysan water &amp; school works (completing Dec 2025–Jan 2026).
• Statuses include Pending Implementation, Under Implementation, Signed, and Canceled (e.g., SUL-03-9, THI-03-4).</t>
  </si>
  <si>
    <t>HIGH RELEVANCE (for Civil Road, Bridge &amp; Water Lots) / LOW RELEVANCE (for Buildings, Power &amp; Goods) — 32 Relevant Opportunities out of 86 Total Tenders:
• High Relevance (20 Opportunities — Roads, Bridges &amp; Box Culverts, ~US$ 24.8M): Direct demand for base reinforcement geogrids (Secugrid®) and separation/filtration nonwoven geotextiles (Secutex®) over soft/marshy subgrades in Basra, Maysan, and Babylon and mountainous alignments in Sulaymaniyah, Erbil, and Duhok, plus bridge abutment earthworks and wingwall/culvert scour protection (DLA-02-1, NJF-02-2, SNJ-02-5).
• Medium Relevance (12 Opportunities — Water Units, Conveyor Lines &amp; Rainwater Networks, ~US$ 4.9M): Trench filtration geotextiles (Secutex®), drainage geocomposites (Secudrain®) for rainwater networks (KIR-03-3), and containment liners (Carbofol®/Bentofix®) for water treatment/storage units.
• Low / No Relevance (54 Packages): 20 school/health center building tenders (minor subbase potential on 3 playground lots), 15 electrical network tenders, 12 office/IT goods tenders, and 7 NGO/audit contracts.</t>
  </si>
  <si>
    <t>Anbar Governorate and Regional Road Corridors, Iraq</t>
  </si>
  <si>
    <t>EODP-AF-MOWR/C02A &amp;
G-GP-CS-CQS1</t>
  </si>
  <si>
    <t>Iraq Emergency Operation for Development Project – Additional Financing (EODP-AF): Ministry of Water Resources (MOWR) Anbar Contracts &amp; Road Rehabilitation Phase 1</t>
  </si>
  <si>
    <t>Ministry of Water Resources (MOWR) / Reconstruction Fund for Areas Affected by Terroristic Operations (REFAATO), financed by The World Bank</t>
  </si>
  <si>
    <t>Infrastructure reconstruction and water resources supervision activities documented across consulting firm procurement schedules:
1. Water Resources Infrastructure Supervision (EODP-AF-MOWR/C02A): Consulting services for construction supervision and quality control for Ministry of Water Resources (MOWR) hydraulic, barrage, and irrigation canal rehabilitation contracts in Anbar Governorate.
2. Road Rehabilitation Phase 1 (G-GP-CS-CQS1): Consulting services for the preparation of the Environmental and Social Management Plan (ESMP) for Road Rehabilitation – Phase 1.
3. Large International Engineering Supervision Contract (Est. US$ 4,944,000.00): Quality and Cost-Based Selection (QCBS, Open - International) consulting contract under implementation from Nov 2025 to April 2028.</t>
  </si>
  <si>
    <t>Active multi-year implementation through April 2028:
• International QCBS Supervision Contract (US$ 4.94M): Terms of Reference 2025-11-01 (Actual 2026-03-10); Expression of Interest 2025-12-09 (Actual 2026-03-16); Planned Contract Signing 2026-07-29; Planned Completion 2028-04-30 (Status: Under Implementation).</t>
  </si>
  <si>
    <t>MEDIUM-TO-HIGH RELEVANCE (Specification &amp; Quality Control Channel) — 3 Opportunities:
• Why it matters: Ministry of Water Resources (MOWR) Anbar contracts involve major canal, dam/barrage, and embankment rehabilitation along the Euphrates river corridor, while Road Rehabilitation Phase 1 covers primary highway/roadway reconstruction.
• Breakdown of Opportunities:
  - 2 High/Medium-High Specification Opportunities (EODP-AF-MOWR/C02A Anbar Water Resources Supervision &amp; US$ 4.94M International Supervision Contract running 2026–2028): Direct opportunity to engage the supervision/quality control engineering firm for MOWR Anbar contracts to approve and specify Naue geotextiles (Secutex®), geomembranes (Carbofol®), GCLs (Bentofix®), and erosion protection in hydraulic and canal works.
  - 1 Medium Opportunity (G-GP-CS-CQS1 Road Rehabilitation Phase 1): Downstream road subgrade reinforcement (Secugrid®).</t>
  </si>
  <si>
    <t>Jordan</t>
  </si>
  <si>
    <t>Hashemite Kingdom of Jordan — Nationwide, with specific focus on Desert Rangelands, Hamad Basin, and Zarqa Basin</t>
  </si>
  <si>
    <t>Not specified in World Bank STEP procurement plan tables (Hamad Basin: ~32.0° N, 38.5° E; Zarqa Basin: ~32.1° N, 36.0° E)</t>
  </si>
  <si>
    <t>Trust Fund Nos. TF / D0350, TF / B8799, and TF / B9817
(27 activity codes prefixed JO-MOA-* and PR2-JO-MOA-*)</t>
  </si>
  <si>
    <t>Agriculture Resilience, Value Chain Development and Innovation (ARDI) Project – Component 2 (Modernizing Agri-Food Value Chains), Component 3 (Institutional Strengthening) &amp; Component 4 (Project Management &amp; M&amp;E)</t>
  </si>
  <si>
    <t>Ministry of Agriculture (MOA), Hashemite Kingdom of Jordan, financed by The World Bank (Trust Funds TF / D0350, TF / B8799, TF / B9817)</t>
  </si>
  <si>
    <t>Agricultural water harvesting, climate resilience, and institutional modernization program comprising 27 procurement activities:
1. Water Harvesting Surveys, Basin Studies &amp; Mapping (4 Consulting Packages): Survey for farm-level water harvesting to identify modern technology solutions (PR2-JO-MOA-ST-08-CS-CDS); Country-wide assessment of social, environmental, and economic impacts of water harvesting (PR2-JO-MOA-ST-01-CS-CDS); Studying physical and climatic factors affecting water harvesting in the Hamad and Zarqa Basins (JO-MOA-462639-CS-CDS); and Rainwater harvesting mapping at farm household level &amp; digital sheep movement mapping in the Jordan desert (JO-MOA-446198-CS-CDS / JO-MOA-296219-CS-CDS).
2. Civil Engineering &amp; Construction Technical Experts (2 Consulting Packages): Selection of Civil Engineering Expert #2 (PR2-JO-MOA-DU-06-CS-INDV) and Selection of Building &amp; Construction Expert for MOA (JO-MOA-438267-CS-INDV).
3. Project Management, E&amp;S, Training &amp; IT Goods (21 Packages): Environmental, Social, and Health &amp; Safety specialists, project database &amp; occupational standards development, seed lab advisory services, staff training, and office PCs/laptops/copiers.</t>
  </si>
  <si>
    <t>Implementation spans April 2023 through June 2027:
• Phase 1 (TF/B8799 &amp; TF/B9817): 2023-04-06 to 2025-12-10 (Under Implementation / Pending Implementation; includes Hamad &amp; Zarqa Basin study completing May 2025).
• Phase 2 (TF/D0350 - PR2-JO-MOA-*): 2026-01-18 to 2027-06-30 (Under Implementation / Pending Implementation; Civil Engineering Expert #2 runs Jan 2026–June 2027; Farm-level Water Harvesting Technology Survey runs June 2026–June 2027).</t>
  </si>
  <si>
    <t>MEDIUM RELEVANCE (Upstream Specification Opportunity) — 6 Relevant Opportunities out of 27 Packages:
• Why it matters: While these 27 notices are consulting, survey, and expert recruitment packages rather than direct material supply tenders, 6 packages directly shape the technical standards and civil designs for Jordan's national rainwater harvesting pond and desert basin storage program.
• Breakdown of Opportunities:
  - 6 Medium Opportunities (4 Water Harvesting Technology/Basin Studies + 2 MOA Civil/Construction Experts active in 2025–2027): High-value upstream opportunity for Naue's technical sales team to introduce Carbofol® geomembranes, Bentofix® GCLs, and Secutex® protection layers to the MOA Civil Engineering Experts and the water harvesting survey consultants as the standard lining solution for farm-level water harvesting ponds and desert hafirs in the Hamad and Zarqa Basins.
  - 21 Low / No-Relevance Packages: HR/training, IT hardware, and general E&amp;S/M&amp;E staffing.</t>
  </si>
  <si>
    <t>Hashemite Kingdom of Jordan (National Water, Wastewater &amp; Energy Infrastructure managed by the Water Authority of Jordan)</t>
  </si>
  <si>
    <t>Loan / Credit No. IBRD / 95600
(Activity Codes: JO-WAJ-413957-CS-QCBS, JO-WAJ-413953-CS-QCBS, JO-WAJ-413938-CS-QCBS, JO-WAJ-413960-CS-QCBS, JO-WAJ-81-CS-INDV, plus Component 1 NRW Package)</t>
  </si>
  <si>
    <t>Jordan Water Sector Energy Efficiency, Renewable Energy &amp; Sustainable Non-Revenue Water (NRW) Reduction Project</t>
  </si>
  <si>
    <t>Water Authority of Jordan (WAJ), financed by The World Bank (Loan IBRD / 95600)</t>
  </si>
  <si>
    <t>Water, wastewater, and energy utility modernization program comprising 6 documented consultancy and management packages totaling &gt;US$ 14.3 Million:
1. Component 1 – Sustainable Non-Revenue Water (NRW) Reduction: QCBS National consultancy (Est. US$ 500,000.00) focused on reducing physical water losses and non-revenue water.
2. Component 2 – Design and Supervision to Improve Energy Efficiency for Selected Water and Wastewater Facilities in Jordan (JO-WAJ-413957-CS-QCBS): Prior-review International QCBS engineering consultancy (Est. US$ 1,000,000.00).
3. Component 2 – Supervision for Renewable Energy (RE) Projects (JO-WAJ-413953-CS-QCBS): Post-review National QCBS engineering consultancy (Est. US$ 800,000.00).
4. Component 4 – Technical Assistant Staff / Management Firm (JO-WAJ-413938-CS-QCBS): Prior-review International QCBS management consultancy (Est. US$ 8,000,000.00, Under Implementation).
5. Component 4 – International Consultancy (US$ 2,000,000.00, Under Implementation), Financial Expert (JO-WAJ-81-CS-INDV), and PBC Verification Support (JO-WAJ-413960-CS-QCBS, US$ 2,000,000.00, Canceled).</t>
  </si>
  <si>
    <t>Multi-year schedule from April 2024 through May 2029:
• JO-WAJ-413938-CS-QCBS (US$ 8.0M Management Firm): Under Implementation (Actual start April 2024; Proposals July 2025; Completion Oct 2026).
• Component 1 NRW Package: 2024-04-02 to 2025-04-24.
• JO-WAJ-413957-CS-QCBS (Water/Wastewater EE Design &amp; Supervision) &amp; JO-WAJ-413953-CS-QCBS (RE Supervision): Planned through May 2029.</t>
  </si>
  <si>
    <t>LOW-TO-MEDIUM RELEVANCE — 3 Indirect / Downstream Specification Opportunities out of 6 Consulting Tenders:
• Why it matters: All 6 listed packages are engineering design, project management, and supervision consultancies (QCBS). However, physical upgrades to selected water and wastewater facilities, NRW water loss reduction works, and renewable energy (solar) installations require downstream geosynthetics.
• Breakdown of Opportunities:
  - 3 Low-to-Medium Opportunities (Component 1 NRW Reduction, JO-WAJ-413957 Water/Wastewater Facilities Design &amp; Supervision, and JO-WAJ-413953 RE Supervision, plus the US$ 8M Technical Assistance Management Firm JO-WAJ-413938): Opportunity to register Naue wastewater lagoon/reservoir liners (Carbofol®/Bentofix®) and solar site stabilization geogrids (Secugrid®) with the Project Management Firm and Design Consultants.
  - 3 Low / No-Relevance Packages: Financial expert and canceled PBC verification contract.</t>
  </si>
  <si>
    <t>Georgia, Republic of Moldova, Republic of Türkiye, and Ukraine (Focus Countries)</t>
  </si>
  <si>
    <t>Black Sea Basin (Focus Countries: Georgia, Moldova, Türkiye, Ukraine; wider Black Sea Commission / BSEC dialogue includes Bulgaria, Romania, Armenia, Azerbaijan, Greece, etc.)</t>
  </si>
  <si>
    <t>Not specified in the project results framework document (Black Sea Basin ~43.0° N, 34.0° E)</t>
  </si>
  <si>
    <t>Project ID: P173890 (BBSEA)</t>
  </si>
  <si>
    <t>Blueing the Black Sea GEF Regional Project (BBSEA)</t>
  </si>
  <si>
    <t>The World Bank (Approved by Country Director Eavan O'Halloran; implemented in coordination with the Commission on the Protection of the Black Sea Against Pollution - BSC)</t>
  </si>
  <si>
    <t>Regional marine pollution reduction, policy harmonization, and eco-innovation grant program across 4 Black Sea focus countries, structured around 5 key deliverables documented in the Results Framework (Pages 10 &amp; 38):
1. Regional Pollution Policy Harmonization: Preparation of draft national pollution reduction and management plans aligned with the regional pollution policy framework.
2. Investment Pre-Feasibility Study (1 Study): Completion of a pre-feasibility preparation/study for pollution reduction infrastructure in one of the four participating countries.
3. Regional Window Eco-Innovation Challenge (1 Window): Incubation of early-stage innovative concepts and technologies to address marine eutrophication.
4. National Window Eco-Innovation Challenges (3 National Grant Windows in Türkiye, Georgia, and Moldova): Provision of grants to selected eco-businesses, universities, and NGOs (working with local partners) to test, adapt, and pilot proven pollution-reduction technologies within a 1-year implementation window.
5. Regional Capacity Building &amp; Knowledge Exchange.</t>
  </si>
  <si>
    <t>Project Appraisal / Results Framework dated October 03, 2021; Approved by World Bank Country Director on January 09, 2023; National Window Eco-Innovation Challenge pilot grants designed for 1-year execution cycles prior to project closure.</t>
  </si>
  <si>
    <t>LOW RELEVANCE (Overall Policy Scope) / LOW-TO-MEDIUM (Pilot Grants &amp; Pre-Feasibility) — 4 Potential Niche Opportunities out of 5 Program Deliverables:
• Why it matters: The overarching project is an institutional capacity-building, policy dialogue, and innovation grant program rather than a heavy civil engineering tender.
• Breakdown of Opportunities:
  - 1 Low-to-Medium Opportunity (Pre-Feasibility Study): If the selected pre-feasibility study covers coastal landfill remediation, Leachate/tailings containment, or wastewater lagoons in Georgia, Moldova, Türkiye, or Ukraine, Naue can provide technical design parameters.
  - 3 Low-to-Medium Niche Opportunities (National Window Eco-Innovation Challenges in Türkiye, Georgia, and Moldova): Local partners or environmental engineering firms could apply for pilot grants incorporating geosynthetic sediment containment (Secutex® dewatering tubes), coastal erosion protection, or nutrient/runoff barrier systems.
  - 1 No-Relevance Activity: Intergovernmental policy harmonization.</t>
  </si>
  <si>
    <t>NAUE OPPORTUNITY SUMMARY DASHBOARD — QUANTITATIVE PORTFOLIO BREAKDOWN</t>
  </si>
  <si>
    <t>Summary of All 7 Identified Project Programs in the 'Development Aid' Folder | Sub-Project Counts, Opportunity Tiers &amp; Primary Naue Product Fit</t>
  </si>
  <si>
    <t>Project ID / Ref</t>
  </si>
  <si>
    <t>Project / Program Short Name</t>
  </si>
  <si>
    <t>Procuring / Funding Agency</t>
  </si>
  <si>
    <t>Overall Naue Relevance Rating</t>
  </si>
  <si>
    <t>Total Sub-Projects / Tenders in Docs</t>
  </si>
  <si>
    <t>Very High / High Relevance Opportunities</t>
  </si>
  <si>
    <t>Medium Relevance Opportunities</t>
  </si>
  <si>
    <t>Low / No Relevance Tenders</t>
  </si>
  <si>
    <t>Total Actionable Naue Opportunities</t>
  </si>
  <si>
    <t>Primary Naue Product Lines Applicable</t>
  </si>
  <si>
    <t>Package 7 (LT-C1 to C5)</t>
  </si>
  <si>
    <t>Wadi Tuban Flood Response &amp; Canal Rehabilitation (ERA)</t>
  </si>
  <si>
    <t>UNDP Yemen / KfW</t>
  </si>
  <si>
    <t>Very High</t>
  </si>
  <si>
    <t>Secutex® (Filter Cloth behind Gabions/Embankments), Secumat® (1.5:1 Canal Slope Erosion Control), Carbofol® / Bentofix®</t>
  </si>
  <si>
    <t>SPN-July 2025 &amp; May 2026</t>
  </si>
  <si>
    <t>Zahrat Al-Finjan &amp; Al-Minya Sanitary Landfills Program</t>
  </si>
  <si>
    <t>Palestinian Authorities / World Bank</t>
  </si>
  <si>
    <t>Carbofol® (Geomembranes), Bentofix® (GCLs), Secudrain® (Leachate &amp; Gas Drainage), Secutex® (Protection Geotextiles)</t>
  </si>
  <si>
    <t>IBRD / 88270</t>
  </si>
  <si>
    <t>Iraq Social Fund for Development (Community Sub-Projects)</t>
  </si>
  <si>
    <t>World Bank / Iraq SFD</t>
  </si>
  <si>
    <t>High</t>
  </si>
  <si>
    <t>Secugrid® (Road Base Reinforcement), Secutex® (Road/Trench Separation &amp; Bridge Scour Filter), Secudrain® (Rainwater)</t>
  </si>
  <si>
    <t>EODP-AF-MOWR/C02A &amp; CQS1</t>
  </si>
  <si>
    <t>EODP-AF: MOWR Anbar Water Works &amp; Road Rehab Phase 1</t>
  </si>
  <si>
    <t>Ministry of Water Resources / World Bank</t>
  </si>
  <si>
    <t>Medium-to-High</t>
  </si>
  <si>
    <t>Secutex® / Carbofol® / Bentofix® (Anbar Canal &amp; Hydraulic Works), Secugrid® (Road Rehabilitation Phase 1)</t>
  </si>
  <si>
    <t>TF / D0350, B8799, B9817</t>
  </si>
  <si>
    <t>MOA Agriculture Resilience &amp; Water Harvesting (ARDI)</t>
  </si>
  <si>
    <t>Ministry of Agriculture (MOA) / World Bank</t>
  </si>
  <si>
    <t>Medium</t>
  </si>
  <si>
    <t>Carbofol® &amp; Bentofix® (Farm Water Harvesting Ponds &amp; Desert Hafirs in Hamad/Zarqa Basins), Secutex®</t>
  </si>
  <si>
    <t>IBRD / 95600</t>
  </si>
  <si>
    <t>WAJ Non-Revenue Water (NRW), Energy Efficiency &amp; RE</t>
  </si>
  <si>
    <t>Water Authority of Jordan (WAJ) / World Bank</t>
  </si>
  <si>
    <t>Low-to-Medium</t>
  </si>
  <si>
    <t>Carbofol® / Bentofix® (Water/Wastewater Lagoon &amp; NRW Storage Lining), Secugrid® (RE Solar Access Roads)</t>
  </si>
  <si>
    <t>P173890 (BBSEA)</t>
  </si>
  <si>
    <t>Georgia, Moldova, Türkiye, Ukraine</t>
  </si>
  <si>
    <t>Blueing the Black Sea GEF Regional Project</t>
  </si>
  <si>
    <t>The World Bank / Black Sea Commission</t>
  </si>
  <si>
    <t>Low</t>
  </si>
  <si>
    <t>Secutex® Dewatering / Sediment Tubes &amp; Environmental Barrier Systems (via Eco-Innovation Pilot Grants)</t>
  </si>
  <si>
    <t>TOTAL PORTFOLIO</t>
  </si>
  <si>
    <t>6 Countries / Regions</t>
  </si>
  <si>
    <t>7 Distinct Programs Identified in Shared Documents</t>
  </si>
  <si>
    <t>UNDP / KfW / World Bank</t>
  </si>
  <si>
    <t>Portfolio Mix</t>
  </si>
  <si>
    <t>58 Actionable Geosynthetic Opportunities out of 138 Total Sub-Projects/Packages (42.0% Hit Rate)</t>
  </si>
  <si>
    <t>Development Aid_2</t>
  </si>
  <si>
    <t>West Bank and Gaza (Palestine)</t>
  </si>
  <si>
    <t>Sofa Landfill (Khan Younis / Rafah area) &amp; Deir Al Balah Sanitary Landfill (Middle Governorate), Gaza Strip</t>
  </si>
  <si>
    <t>Sofa Landfill: ~31°14'35"N, 34°20'50"E; Deir Al Balah: ~31°24'15"N, 34°22'45"E (Approximate)</t>
  </si>
  <si>
    <t>Parent ID: P121648 &amp; AF ID: P171328 (Grant TF / 16835)
Refs: GZ-MDLF-192162-CW-RFQ, GZ-MDLF-191383-CS-CQS, GZ-MDLF-192161-CW-RFB, GZ-MDLF-16393-CS-QCBS, GZ-MDLF-181365-CS-QCBS, GZ-MDLF-95626-CW-DIR, GZ-MDLF-48866-CW-RFB</t>
  </si>
  <si>
    <t>Gaza Solid Waste Management Project (GSWMP &amp; Additional Financing): Landfill Leachate Pre-Treatment, Earthworks &amp; Dumpsite Closure Program</t>
  </si>
  <si>
    <t>Municipal Development and Lending Fund (MDLF) / Joint Service Council for Solid Waste Management (JSC-KRM), funded by the World Bank</t>
  </si>
  <si>
    <t>WHAT IS HAPPENING: Comprehensive sanitary landfill, leachate management, and dumpsite remediation program in the Gaza Strip. Activities happening include: (1) Detailed design, supervision, and construction of a Leachate Pre-treatment Facility at Sofa Landfill; (2) Closure design, supervision, and physical capping civil works for the existing Deir Al Balah Sanitary Landfill/Dumpsite; (3) Removal and transfer of excavated material (GZ-MDLF-48866-CW-RFB) and leveling/compaction works for short-term operation at Sofa Dumpsite.
OPPORTUNITIES FOR NAUE (4 Direct Landfill/Leachate Packages): Direct supply &amp; specification across Sofa Leachate Pre-treatment lagoons, Deir Al Balah Landfill capping, and Sofa Landfill earthworks/containment cells.</t>
  </si>
  <si>
    <t>2017 – 2022:
• Deir Al Balah Closure Design: Signed Nov 2017, Completed May 2018
• Excavated Material Transfer (48866-CW): Feb – Oct 2018
• Sofa Leveling Works: Planned Jan –Sep 2019
• Sofa Leachate Design &amp; Construction: Dec 2020 – Sep 2021
• Deir Al Balah Closure Works: Oct 2020 – Feb 2022
• AF (P171328) Board Approval: Jun 2020</t>
  </si>
  <si>
    <t>VERY HIGH (4 Direct Opportunities)
• Sofa Leachate Pre-treatment Facility: Carbofol® HDPE geomembranes, Bentofix® GCLs, Secutex® protection geotextiles, and Secudrain® leak detection.
• Deir Al Balah Dumpsite Capping: Bentofix® GCL &amp; Carbofol® capping barriers, Secudrain® gas/rainwater drainage, Secugrid® slope reinforcement, and Secumat® erosion control.</t>
  </si>
  <si>
    <t>Sofa Landfill, Khan Younis, Rafah, and Middle Area Governorates, Gaza Strip</t>
  </si>
  <si>
    <t>Khan Younis: ~31°20'40"N, 34°18'10"E; Rafah: ~31°17'19"N, 34°15'07"E (Approximate)</t>
  </si>
  <si>
    <t>Grant TF / 16835
Refs: GZ-MDLF-16163-CW-RFB, GZ-MDLF-25103-CS-QCBS, GZ-MDLF-95627-CS-CDS, GZ-MDLF-16467-CS-CDS, GZ-MDLF-82675-CS-CDS, Khan Younis Ramp CW-RFQ</t>
  </si>
  <si>
    <t>GSWMP Sofa Landfill Access Road Rehabilitation &amp; Solid Waste Transfer Stations Program</t>
  </si>
  <si>
    <t>Municipal Development and Lending Fund (MDLF) / JSC-KRM, funded by the World Bank</t>
  </si>
  <si>
    <t>WHAT IS HAPPENING: Transport and transfer station infrastructure supporting Gaza's solid waste network. Projects happening include: (1) Design, supervision, and civil rehabilitation of the Sofa Landfill Access Road (GZ-MDLF-16163-CW-RFB); (2) Construction of concrete tipping ramp and control room for Khan Younis Transfer Station; and (3) Detailed design and construction supervision for Middle Area and Rafah Transfer Stations (alongside non-civil institutional strengthening, GIS tools, public awareness, and JSC-KRM office renovation).
OPPORTUNITIES FOR NAUE (2 Direct Civil Packages): Base course stabilization for the heavy-duty Sofa Landfill Access Road and reinforced soil embankments for Transfer Station tipping ramps.</t>
  </si>
  <si>
    <t>2017 – 2021:
• Sofa Access Road Design (25103-CS): Aug 2017 – Feb 2018
• Sofa Access Road Civil Works (16163-CW-RFB) &amp; Supervision (95627-CS): Oct 2018 – Aug 2019
• Khan Younis, Rafah &amp; Middle Area Transfer Stations: Jun 2017 – Jan 2020</t>
  </si>
  <si>
    <t>HIGH (2 Direct Opportunities)
• Sofa Landfill Access Road (16163-CW-RFB): Secugrid® and Combigrid® geogrids with Secutex® separation geotextiles to prevent rutting under heavy waste-collection trucks.
• Transfer Station Ramps: Secugrid® reinforced soil slopes/retaining walls for elevated tipping ramps.</t>
  </si>
  <si>
    <t>Expressway No. 1/R9, Mosul (Nineveh), Samarra, Tikrit &amp; Al-Dhuluiya (Salah Al-Din), Khanaqin, Mandli, Al-Khalis, Al-Haronyah, Imam Ways, Al-Sodoor &amp; Narin River (Diyala), North Baghdad</t>
  </si>
  <si>
    <t>Mosul: ~36°21'N, 43°07'E; Samarra: ~34°11'N, 43°52'E; Baqubah/Diyala: ~33°45'N, 44°38'E (Approximate)</t>
  </si>
  <si>
    <t>Project ID: P155732 (Loans IBRD / 85200 &amp; IBRD / 87930)
Highway/Culvert Refs: W2/1, W2/3, W2/10/A/R1, W4-A/3-PART 1, MOCHPM/C7
Bridge Refs: W3-M, M-C1, M-C2, M-C3, W3/R1, W5, W7, W8, W10/1, W10/2, W10/3, W10/7, W4-A/5, W4-A/6, A-C4, C11, MOCH/G1</t>
  </si>
  <si>
    <t>Emergency Operation for Development Project (EODP &amp; AF): National Highways, Culverts &amp; River Bridges Reconstruction Program</t>
  </si>
  <si>
    <t>Ministry of Construction, Housing, Municipalities and Public Works (MOCHPM) - Roads &amp; Bridges Directorate, funded by the World Bank</t>
  </si>
  <si>
    <t>WHAT IS HAPPENING: Massive highway and bridge reconstruction program across Iraq. Projects happening include:
• 3 Highway Packages: Maintenance of 42.5 km of Naft Khanna–Mandli Road ($9.23M, W2/1) and 20 km of Khanaqin–Naft Khanna Road ($392k, W2/3) in Diyala; Rehabilitation &amp; supervision of Al-Khalis–Adheem Road on Baghdad–Kirkuk Hwy ($10.8M + $1.5M, W2/10/A/R1 &amp; C7).
• Expressway No. 1 Culverts &amp; Wadi Bridges: Culvert rehab along 66.8 km of Expressway No. 1 ($3.5M, W4-A/3-PART 1), rehab of 4 bridges at St. 215–350 km ($7M total, W4-A/5 &amp; W4-A/6), and design/supervision of damaged Wadi bridges along western Expressway No. 1 ($1.5M, A-C4).
• 10 Major River Bridge Packages: Mosul 5th Bridge ($17M, W3-M &amp; M-C3), Mosul 4th Bridge ($1.25M, M-C2), Mosul 2nd Bridge (M-C1), Samarra Diversion Bridge &amp; Approaches ($15.1M, W3/R1), Al-Dhuluiya Bridges &amp; Approaches ($4.79M, W7), Al-Muthana Bridge North Baghdad ($4.3M, W8), Al-Shanasheen Bridges ($2.12M, W5), Imam Ways Bridges ($1.91M, W10/2), Narin River Bridge ($1.82M, W10/7), Al-Sodoor Bridge ($854k, W10/3), Al-Haronyah Bridges ($852k, W10/1), and Tikrit Bridge (C11).
OPPORTUNITIES FOR NAUE (15+ Civil Highway &amp; Bridge Packages): Subbase stabilization across &gt;62.5 km of highways, culvert/wadi erosion protection on Expressway No. 1, and bridge approach embankment reinforcement across 10+ river/wadi bridges.</t>
  </si>
  <si>
    <t>2016 – 2022:
• Signed 2016–2017: Diyala Roads (W2/1, W2/3) &amp; Bridges (W5, W7, W8, W10/1–W10/7)
• 2017–2019: Samarra Diversion Bridge (W3/R1)
• 2019–2022: Al-Khalis–Adheem Road ($10.8M), Expressway No. 1 Culverts &amp; Bridges ($12M), and Mosul 2nd, 4th &amp; 5th Bridges ($19.75M)</t>
  </si>
  <si>
    <t>HIGH (15+ Major Civil Infrastructure Opportunities)
• Highway Rehabilitation (Al-Khalis–Adheem $10.8M, Naft Khanna–Mandli $9.23M, Khanaqin): Secugrid® and Combigrid® for road base reinforcement and asphalt/subbase stabilization.
• Bridge Approaches &amp; River/Wadi Crossings (Mosul, Samarra, Al-Dhuluiya, Diyala, Expressway No. 1 Wadis): Secugrid® MSE walls/embankments to prevent abutment settlement; Secutex® nonwoven geotextiles for Tigris/Narin/Wadi scour protection and culvert bedding.</t>
  </si>
  <si>
    <t>Tikrit, Samarra, Al-Dour, Al-Dulooeyya, Al-Alam &amp; Amerli (Salah Al-Din); As-Sadiya, Jalula &amp; Al-Muqdadiyah (Diyala); Mosul &amp; Al-Gwear (Nineveh); Al-Falluja (Al-Anbar)</t>
  </si>
  <si>
    <t>Tikrit: ~34°36'N, 43°41'E; Jalula/As-Sadiya: ~34°16'N, 45°09'E; Mosul: ~36°20'N, 43°08'E (Approximate)</t>
  </si>
  <si>
    <t>Project ID: P155732 (Loans IBRD / 85200 &amp; IBRD / 87930)
Refs: C2C (Al-Dhebaee WWTP), W07 (Jalula WTP &amp; As-Sadiya Stormwater), W15 (Falluja Lift Station), W02, W03-R1, W04-R1, W05, W06-R1, W12-A, W14, W15-A-R1, W15-B, EODP-AF-NIN-W02, EODP-AF-NIN-W03, EODP-MOE/C2</t>
  </si>
  <si>
    <t>EODP Municipal Wastewater Treatment Plant (WWTP), Stormwater Networks &amp; Water Purification Program</t>
  </si>
  <si>
    <t>Ministry of Construction, Housing, Municipalities and Public Works (MOCHPM) / Nineveh Governorate, funded by the World Bank</t>
  </si>
  <si>
    <t>WHAT IS HAPPENING: Municipal water, wastewater, and stormwater restoration across 4 governorates. Projects happening include: (1) Detailed Design &amp; Bidding Documents for Al-Dhebaee Wastewater Treatment Plant (WWTP) in Tikrit ($200k, C2C); (2) Rehabilitation of Jalula Old WTP, As-Sadiya Storm Water Pump (1,800 m3/d), Storm Water Networks at As-Sadiya &amp; Jalula, and Sewerage Center Building in Diyala (W07); (3) Al-Falluja Sewerage Lift Station F2 ($676k, W15); (4) Al-Gwear Water Purification Project ($243k, NIN-W03) &amp; Naynawa/Mosul Right Bank Drinking Water Network ($649k, NIN-W02); (5) 250mm Pipeline from Brwana Springs to Amerli (W14); (6) Multiple Drinking Water Compact Units in Salah Al-Din and Diyala (W02–W06, W12-A, W15-A/B); and (7) Soil Investigation in Samarra &amp; Tikrit ($73.7k).
OPPORTUNITIES FOR NAUE (5 Core WWTP/Stormwater/Water Packages): High specification potential for lagoon/sludge bed lining in the Al-Dhebaee WWTP design (C2C), plus stormwater basin/trench filtration in As-Sadiya/Jalula (W07), Mosul (NIN-W02/W03), and Amerli (W14).</t>
  </si>
  <si>
    <t>2017 – 2020:
• C2C Al-Dhebaee WWTP Design: Jan – Aug 2017
• W07 Jalula WTP &amp; As-Sadiya Stormwater Networks: Jun 2017 – Jul 2018
• W15 Falluja Lift Station &amp; W02–W15 Water Units: 2017 – Jan 2019
• NIN-W02 &amp; W03 Mosul Water Works: Jan – Oct 2019</t>
  </si>
  <si>
    <t>HIGH to MODERATE (5 Opportunities)
• Al-Dhebaee WWTP Design (C2C): High relevance for specifying Carbofol® geomembranes, Bentofix® GCLs, and Secutex® in wastewater treatment lagoons and sludge drying beds.
• Stormwater &amp; Water Networks (W07 As-Sadiya/Jalula, NIN-W02/W03 Mosul, W14 Amerli): Moderate relevance for Secutex® trench filtration and stormwater attenuation pond lining.</t>
  </si>
  <si>
    <t>Al-Ramadi, Al-Falluja, Khaldiyah, Al-Habbaniyah, and Heet Districts, Al-Anbar Governorate</t>
  </si>
  <si>
    <t>Al-Ramadi: ~33°25'33"N, 43°17'57"E; Al-Falluja: ~33°21'00"N, 43°47'00"E; Heet: ~33°38'00"N, 42°49'00"E (Approximate)</t>
  </si>
  <si>
    <t>Project ID: P155732 (Loan IBRD / 87930)
Refs: EODP-AF-ANB-W01, EODP-AF-ANB-W02, EODP-AF-ANB-W03, EODP-AF-ANB-W07, EODP-AF-ANB-W08</t>
  </si>
  <si>
    <t>EODP Al-Anbar Municipal Streets &amp; Old Commercial Market Zones Rehabilitation (5 Civil Packages)</t>
  </si>
  <si>
    <t>Al-Anbar Governorate (under EODP Additional Financing), funded by the World Bank</t>
  </si>
  <si>
    <t>WHAT IS HAPPENING: Five municipal civil works packages (Request for Bids, Open - National) in Al-Anbar Governorate to rehabilitate urban streets and commercial market zones: (1) Al-Shurta zone streets in Al-Ramadi city (ANB-W02); (2) Khaldiyah commercial market and main street in Al-Habbaniyah sub-district (ANB-W07); and (3) Old commercial market zones in central Al-Ramadi (ANB-W01), Al-Falluja (ANB-W03), and Heet (ANB-W08).
OPPORTUNITIES FOR NAUE (5 Municipal Street/Pavement Packages): Subgrade stabilization and pavement reinforcement for urban streets and market paving in Al-Ramadi, Al-Habbaniyah, Al-Falluja, and Heet.</t>
  </si>
  <si>
    <t>2019:
• Draft Bidding Docs &amp; Notices: Jan – Feb 2019
• Proposal Submissions: Mar 2019
• Planned Signed Contracts: May – Jun 2019
• Planned Completions: Nov 2019</t>
  </si>
  <si>
    <t>MODERATE (5 Urban Street/Pavement Opportunities)
• Urban streets in Al-Ramadi (ANB-W02) and Al-Habbaniyah (ANB-W07), plus market zone paving (W01, W03, W08): Secugrid® / Combigrid® for urban road subbase reinforcement and Secutex® for separation/drainage.</t>
  </si>
  <si>
    <t>Participating Municipalities across Jordan (Host communities affected by Syrian refugee influx)</t>
  </si>
  <si>
    <t>National / Multi-Municipal scope (Amman HQ: ~31°57'14"N, 35°54'38"E)</t>
  </si>
  <si>
    <t>Project ID: P171426 (Parent Project ID: P147689)</t>
  </si>
  <si>
    <t>Third Municipal Services &amp; Social Resilience Additional Financing (AF)</t>
  </si>
  <si>
    <t>Ministry of Planning and International Cooperation (MOPIC) / Ministry of Local Administration (formerly MOMA), funded by the World Bank</t>
  </si>
  <si>
    <t>WHAT IS HAPPENING: World Bank Investment Project Financing supporting Jordanian municipalities impacted by the Syrian refugee influx with municipal infrastructure grants, solid waste management upgrades, local roads, and stormwater drainage.
OPPORTUNITIES FOR NAUE (Programmatic Pipeline): Downstream municipal sub-tenders for road rehabilitation, solid waste cells, and flood/stormwater basins.</t>
  </si>
  <si>
    <t>PID Approval Cycle:
• Safeguards &amp; Manager Approval: 01-Apr-2020
• Estimated Appraisal Date: 14-Apr-2020
• Country Director Approval: 22-Apr-2020
• Estimated Board Date: 30-Apr-2020</t>
  </si>
  <si>
    <t>MODERATE (Program-Level Downstream Opportunities)
• Municipal road sub-projects: Secugrid® / Combigrid® base reinforcement.
• Solid waste &amp; stormwater sub-projects: Carbofol® and Bentofix® lining systems.</t>
  </si>
  <si>
    <t>Regional / International Donor Target Country</t>
  </si>
  <si>
    <t>Priority Investment Programme Target Municipalities</t>
  </si>
  <si>
    <t>Not specified in source</t>
  </si>
  <si>
    <t>Attachment to Amendment &amp; Partial Restatement / PSD Technical Cooperation (TC)</t>
  </si>
  <si>
    <t>Water Supply, Sanitation, Urban Development &amp; Energy Priority Investment Programme (Feasibility Study Update &amp; ESDD)</t>
  </si>
  <si>
    <t>International Donor / Multilateral Development Bank (World Bank / EBRD Technical Cooperation)</t>
  </si>
  <si>
    <t>WHAT IS HAPPENING: Co-financing and project preparation for a Priority Investment Programme across (i) Water supply and sanitation, (ii) Urban development, and (iii) Energy, supported by two pre-signing Technical Cooperation (TC) assignments: Feasibility Study Update (EUR 74,500) and Environmental and Social Due Diligence - ESDD (EUR 74,500).
OPPORTUNITIES FOR NAUE (2 Early Specification / Feasibility Channels): Early-stage technical engagement during the Feasibility Study update to specify geosynthetics in the Priority Investment Programme.</t>
  </si>
  <si>
    <t>Pre-Signing Stage:
• Feasibility Study Update (EUR 74,500) &amp; ESDD (EUR 74,500) prior to PSD update and loan signing</t>
  </si>
  <si>
    <t>MODERATE (Early Feasibility Specification Opportunity)
• Engaging during the Feasibility Study Update to specify Carbofol®, Bentofix®, and Secugrid® for the Priority Investment Programme's water supply, sanitation, and urban development components.</t>
  </si>
  <si>
    <t>Central Asian Republic (Tajikistan)</t>
  </si>
  <si>
    <t>Feed the Future Target Districts, Tajikistan</t>
  </si>
  <si>
    <t>Not specified in source (Dushanbe HQ: ~38°33'35"N, 68°47'13"E)</t>
  </si>
  <si>
    <t>SOL-176-15-000005 &amp; TAWON Contract (USAID Pipeline)</t>
  </si>
  <si>
    <t>Feed the Future Tajikistan Agriculture and Water Project &amp; Tajikistan Agriculture and Water to Optimize Nutrition (TAWON)</t>
  </si>
  <si>
    <t>United States Agency for International Development (USAID / Central Asian Republics)</t>
  </si>
  <si>
    <t>WHAT IS HAPPENING: Two parallel $10M–$24.99M contracts (combined $20M–$50M) focused on agricultural water management, irrigation efficiency, and sanitation in Tajikistan (alongside two non-civil governance/HIV awards).
OPPORTUNITIES FOR NAUE (2 Water/Irrigation Contracts): Canal lining and water storage reservoir opportunities within the two agricultural water contracts.</t>
  </si>
  <si>
    <t>FY 2015:
• TAWON: Release 1/15/2015, Award 9/30/2015 (3 years + 2 option years)
• Feed the Future Agriculture &amp; Water (SOL-176-15-000005): Release 3/10/2015, Award 9/30/2015 (3 years)</t>
  </si>
  <si>
    <t>MODERATE (2 Irrigation/Water Lining Opportunities)
• Irrigation canals and agricultural water reservoirs: Carbofol® geomembranes and Bentofix® GCLs for seepage prevention, plus Secutex® protection layers.</t>
  </si>
  <si>
    <t>Multi-Country (Egypt, Lebanon, Liberia, Thailand / Asia Regional)</t>
  </si>
  <si>
    <t>Egypt (5 Governorates); Lebanon (Nationwide); Liberia (Nationwide); Thailand/Lower Mekong Region</t>
  </si>
  <si>
    <t>USAID Pipeline:
• Egypt: Infrastructure A&amp;E Contract ($1M–$3.99M)
• Lebanon: Mission A&amp;E &amp; M&amp;E Contract ($10M–$24.99M)
• Liberia: SOL-669-15-000014 SHINE Construction ($150k–$499k)
• Thailand: NAICS 561990 Biodiversity Infrastructure A&amp;E + CMC ($500k–$999k)</t>
  </si>
  <si>
    <t>USAID Dedicated Architecture, Engineering (A&amp;E) &amp; Infrastructure Construction Contracts (Egypt, Lebanon, Liberia SHINE &amp; Thailand Biodiversity CMC)</t>
  </si>
  <si>
    <t>United States Agency for International Development (USAID Missions in Egypt, Lebanon, Liberia, and Thailand)</t>
  </si>
  <si>
    <t>WHAT IS HAPPENING: Four dedicated engineering and construction contracts within the USAID global forecast: (1) Egypt Local A&amp;E Consulting Firm ($1M–$3.99M) to monitor and certify infrastructure works in 5 governorates; (2) Lebanon Architecture &amp; Engineering (A&amp;E) and M&amp;E support ($10M–$24.99M); (3) Liberia Sustainable High Impact Infrastructure for Education and Agriculture (SHINE, SOL-669-15-000014) construction services; and (4) Thailand/Asia Biodiversity Infrastructure A&amp;E + Construction Management Contract ($500k–$999k).
OPPORTUNITIES FOR NAUE (4 Engineering/Construction Channels): Direct specification with appointed A&amp;E firms in Egypt, Lebanon, and Thailand, plus construction supply in Liberia.</t>
  </si>
  <si>
    <t>FY 2015 – FY 2016:
• Release Dates: Feb – Sep 2015
• Award Dates: Jun 2015 – Apr 2016
• Durations: 1 to 5 years</t>
  </si>
  <si>
    <t>MODERATE (4 A&amp;E Specification &amp; Construction Opportunities)
• Specification of Carbofol®, Secugrid®, Secutex®, and Secumat® through USAID's contracted A&amp;E engineering consultants (Egypt, Lebanon, Thailand) and SHINE construction contractor (Liberia).</t>
  </si>
  <si>
    <t>Sana'a and Aden Cities (Sanitation Mapping); All 21 Governorates (Emergency Crisis Recovery &amp; Active WB Portfolio)</t>
  </si>
  <si>
    <t>Sana'a: ~15°22'10"N, 44°11'28"E; Aden: ~12°47'08"N, 45°01'05"E</t>
  </si>
  <si>
    <t>P165143 (DNA-I, II, III &amp; Sanitation Mapping); P133811 (Emergency Crisis Recovery); Referenced Portfolio: P085231, P107050, P122594, P088435</t>
  </si>
  <si>
    <t>Sanitation Service Chain Mapping for Sana'a and Aden Cities, Dynamic Damage &amp; Need Assessment (P165143), and Emergency Crisis Recovery Project (P133811)</t>
  </si>
  <si>
    <t>World Bank Group (IDA) / Government of the Republic of Yemen</t>
  </si>
  <si>
    <t>WHAT IS HAPPENING: (1) Forthcoming diagnostic Sanitation Service Chain Mapping for Sana'a and Aden and 3-phase Dynamic Damage and Need Assessment (P165143); (2) $100M Emergency Crisis Recovery cash-transfer safety net project (P133811); and (3) Referenced background World Bank portfolio (Rural Access Roads $80M, Port Cities II $35M, Urban Dev $22M, Public Works $61M).
OPPORTUNITIES FOR NAUE (1 Early Diagnostic Precursor): No immediate civil tenders in the diagnostic or cash-transfer documents, but future downstream rehabilitation of Sana'a and Aden wastewater ponds will require geosynthetics.</t>
  </si>
  <si>
    <t>• P133811 Cash Transfer Project: Effectiveness Mar 2013
• P165143 Sanitation Mapping &amp; DNA-I/II/III: Forthcoming under IDA18 ('towards 2030' cycle)</t>
  </si>
  <si>
    <t>LOW (Early Assessment Stage / Future Downstream Potential)
• P133811 is a household cash-transfer program (None).
• Sana'a &amp; Aden Sanitation Mapping (P165143) is a precursor study that may lead to future WWTP lagoon lining (Carbofol® / Bentofix®) once physical reconstruction tenders are issued.</t>
  </si>
  <si>
    <t>Al-Anbar (Heet), Diyala, Salah Al-Din, Nineveh (Mosul), Kirkuk, Muthanna, and Dohuk Governorates</t>
  </si>
  <si>
    <t>Heet Substation: ~33°38'00"N, 42°49'00"E (Approximate)</t>
  </si>
  <si>
    <t>Loans IBRD / 85200 &amp; IBRD / 87930
Civil Tender: EODP-MOE/T.E/W3 (or W1)
Goods &amp; TA: EODP-MOE/T.E/G1–G19, D.E/G5–G29, EODP-AF-NIN-W04-A, W05, G03–G11, MOH-EODP-G2/G3, EODP-RF/C1–C25, G1–G5</t>
  </si>
  <si>
    <t>EODP Heet 132kV Substation Civil Foundation Works, Electricity Network Equipment, Municipal Fleet &amp; Technical Assistance</t>
  </si>
  <si>
    <t>Ministry of Electricity (MOE), Ministry of Health (MOH), and Reconstruction Fund (REFAATO), funded by the World Bank</t>
  </si>
  <si>
    <t>WHAT IS HAPPENING: Large-scale procurement of electrical grid equipment (132kV/400kV towers, cables, mobile substations, transformers), Mosul street lighting networks (NIN-W04-A, W05), municipal water/sewage/crane trucks, mobile health clinics/ambulances ($14.89M), and ~20 consulting/audit/M&amp;E/school assessment contracts (EODP-RF/C1–C25), plus 1 civil works package for Power Transformer Foundation, Fence, Gate, Shed &amp; Building Maintenance at Heet 132kV Substation.
OPPORTUNITIES FOR NAUE (1 Minor Civil Substation Package): Out of ~60 equipment/consulting packages, only the Heet 132kV Substation foundation civil works involves ground engineering.</t>
  </si>
  <si>
    <t>2016 – 2021:
• IBRD / 85200 Electrical Goods &amp; Trucks: Mostly Signed/Completed 2016 – 2018
• Heet 132kV Substation Foundation (W3): Planned Sep 2018 – Jun 2019
• IBRD / 87930 Additional Financing Goods &amp; Street Lighting: 2019 – 2020
• TA / Consulting Studies: 2016 – 2021</t>
  </si>
  <si>
    <t>LOW (1 Minor Opportunity out of ~60 Sub-Contracts)
• Heet 132kV Substation (EODP-MOE/T.E/W3): Minor potential for Carbofol® geomembranes in transformer oil secondary containment bunds and Secutex®/Secugrid® for substation yard stabilization.
• All other electrical supply, street lighting, vehicles, and TA contracts have None.</t>
  </si>
  <si>
    <t>Multi-Country (Nigeria, Senegal, Barbados, Indonesia, Brazil, Philippines)</t>
  </si>
  <si>
    <t>Urban Water Boards in Nigeria; Southern Senegal; Barbados; Indonesia; Amazon Basin (Brazil); Philippines</t>
  </si>
  <si>
    <t>USAID Pipeline (Contacts: Kingsley Ebule, Khady Sadio, José Luis Núñez, Ikke Tristianti, Cecilia Yanez, Abegail Castillo)</t>
  </si>
  <si>
    <t>USAID Urban WASH Utility Support (Nigeria), Southern Senegal Education Infrastructure, and Climate Change / Biodiversity Conservation Programs</t>
  </si>
  <si>
    <t>United States Agency for International Development (USAID)</t>
  </si>
  <si>
    <t>WHAT IS HAPPENING: (1) Nigeria Water, Sanitation and Hygiene (WASH) ($1M–$3.99M) supporting urban Water Corporations with utility reform, metering, and investment plans; (2) Senegal Education ($1M–$24.99M) including school infrastructure development in Southern Senegal; (3) Barbados Environment/Climate Change ($10M–$24.99M, to be designed); and (4) Marine/Forest Biodiversity conservation programs in Indonesia ($25M–$49.99M SEA Project &amp; $1M–$3.99M Adaptation Pool), Brazil (3 Amazon grants $1M–$3.99M each), and Philippines ($10M–$24.99M).
OPPORTUNITIES FOR NAUE (2 Indirect / Minor Potential Packages): Potential downstream specification in Nigeria urban water utility investment plans or Barbados coastal climate adaptation.</t>
  </si>
  <si>
    <t>FY 2015 – FY 2016:
• Release &amp; Award Dates spanning Dec 2014 – Dec 2015
• Program Durations: 2 to 5 years</t>
  </si>
  <si>
    <t>LOW (2 Indirect / Downstream Opportunities)
• Barbados Climate Change ($10M–$24.99M) &amp; Indonesia Adaptation Pool: Minor potential for coastal erosion protection (Secumat® / Secutex® Soft Rock) if physical works are included.
• Nigeria WASH: Focused on utility tariff/metering reform, though investment plans may lead to future water containment works.</t>
  </si>
  <si>
    <t>Regional MENA (Algeria, Egypt, Jordan, Morocco)</t>
  </si>
  <si>
    <t>Participating National Institutes across Algeria, Egypt, Jordan, and Morocco</t>
  </si>
  <si>
    <t>Project ID: P130343 (Report Nos. PIDC286, PIDA617, 73310; Sub-contracts SC1.2, SC1.3, SC2.1, SC2.2, SC2.3)</t>
  </si>
  <si>
    <t>MENA- Desert Ecosystems and Livelihoods Knowledge Sharing and Coordination Project (MENA-DELP)</t>
  </si>
  <si>
    <t>World Bank (MNSSD / MNSEN) / Global Environment Facility (GEF)</t>
  </si>
  <si>
    <t>WHAT IS HAPPENING: A US$ 1.00 Million GEF Technical Assistance Grant classified as Environmental Category C (Not Required). The project funds analytical studies (SC1.2, SC1.3), M&amp;E studies (SC2.1), and an Information System (SC2.2, SC2.3) to link national organizations and share knowledge on desert ecosystem management.
OPPORTUNITIES FOR NAUE (0 Opportunities): Purely institutional networking and IT/analytical studies with zero physical civil works.</t>
  </si>
  <si>
    <t>2012 – 2017:
• Concept PID: Mar 2012; Appraisal PID: Sep 2012
• Estimated Board Approval: Feb 2013
• Analytical &amp; IS Contracts: Jan 2013 – Apr 2017</t>
  </si>
  <si>
    <t>NONE (0 Opportunities)
• Environmental Category C technical assistance and knowledge-sharing grant with no physical engineering or construction activities.</t>
  </si>
  <si>
    <t>Multi-Country (21 Countries: Bangladesh, Brazil, Burma, Cambodia, DRC, East Timor, El Salvador, Ethiopia, Georgia, Ghana, Guatemala, Haiti, Indonesia, Kenya, Malawi, Mali, Morocco, Mozambique, Nepal, Pakistan, Somalia, South Africa, South Sudan, Uganda, Ukraine, Vietnam)</t>
  </si>
  <si>
    <t>Nationwide across respective USAID Missions</t>
  </si>
  <si>
    <t>USAID Pipeline (Multiple Cooperative Agreements, Contracts, Grants, IDIQs, and PSCs; NAICS 541990 / 923120)</t>
  </si>
  <si>
    <t>USAID Non-Infrastructure Portfolio: Public Health (HIV/Malaria/TB/MCH), Basic &amp; Higher Education, Reading Books, Agriculture/Nutrition TA, Economic Governance, and M&amp;E Services (~55 Non-Civil Awards)</t>
  </si>
  <si>
    <t>WHAT IS HAPPENING: Approximately 55 non-construction USAID awards across 21 countries covering HIV/AIDS, Malaria, and TB healthcare delivery (DRC, Mozambique, South Africa, Cambodia, Malawi, Kenya), early grade reading &amp; book printing (Indonesia, Morocco, Mozambique, Haiti), workforce/economic governance (Burma, El Salvador, Nepal, Pakistan, Georgia), clean energy transaction advisory (South Africa Power Africa), and mission M&amp;E contracts (Ukraine, Indonesia, Cambodia, Nigeria).
OPPORTUNITIES FOR NAUE (0 Opportunities): None of these social, health, policy, or advisory programs involve civil engineering or geosynthetics.</t>
  </si>
  <si>
    <t>FY 2014 – FY 2016:
• Solicitation Release &amp; Award Dates: 2014 – 2016
• Program Durations: 1 to 5 years</t>
  </si>
  <si>
    <t>NONE (0 Opportunities)
• Purely social, healthcare, educational, financial advisory, and monitoring/evaluation services with no physical civil or environmental engineering scope.</t>
  </si>
  <si>
    <t>Development Aid_3</t>
  </si>
  <si>
    <t>West Bank and Gaza</t>
  </si>
  <si>
    <t>North Gaza, Gaza, Southern West Bank, and Hebron</t>
  </si>
  <si>
    <t>Not specified in sources</t>
  </si>
  <si>
    <t>P121648, P105404, P074595 (TF056186), P117449, P101289, P127163, P159258, P116199, TF071898/TF072778</t>
  </si>
  <si>
    <t>Gaza Solid Waste Management; Southern West Bank Solid Waste Mgt; North Gaza Emergency Sewage Treatment; Hebron Regional Wastewater Mgmt-1; Water Supply &amp; Sewage System Improvement; Second &amp; Third Municipal Development Projects; Gaza Electricity Network Rehab</t>
  </si>
  <si>
    <t>World Bank Group (IBRD/IDA/IFC/MIGA), SIDA, USAID, AFD, PID Multi-Donor Trust Fund, and Palestinian Authority (MOPWH &amp; MOF)</t>
  </si>
  <si>
    <t>Construction and upgrading of sanitary landfills and solid waste management facilities in Gaza and Southern West Bank; emergency sewage treatment plants and percolation/infiltration basins in North Gaza; regional wastewater treatment and network improvements in Hebron; municipal water supply, sewage system rehabilitation, urban roads, and electricity network rehabilitation.</t>
  </si>
  <si>
    <t>Approval fiscal years span FY 2005–2018 across the active portfolio (P074595: FY05; P105404: FY09; P116199: FY12; P101289 &amp; P127163: FY13; P121648: FY14; P117449: FY15; P159258 &amp; P148600: FY18).</t>
  </si>
  <si>
    <t>Governorates of Irbid, Mafraq, Ajloun, Jerash, Amman, Madaba, Balqa, and Zarqa</t>
  </si>
  <si>
    <t>CRIS number: ENI / 2016 / 039-601</t>
  </si>
  <si>
    <t>Support to the implementation of the National Solid Waste Management Strategy (NSWMS)</t>
  </si>
  <si>
    <t>European Neighbourhood Instrument (ENI) / Ministry of Municipal Affairs (MoMA) and Programme Management Unit</t>
  </si>
  <si>
    <t>National implementation of Jordan's Solid Waste Management Strategy across eight northern and central governorates, including construction and rehabilitation of sanitary landfill cells, transfer stations, leachate collection/treatment systems, old dumpsite closure/capping, technical assistance for Resettlement Action Plans, and procurement of works, supplies, and services.</t>
  </si>
  <si>
    <t>Financing under ENI 2016; indicative 21 contracts under direct management. Two evaluation contracts and four audit contracts scheduled under framework contracts in 2019 and 2021.</t>
  </si>
  <si>
    <t>Iran</t>
  </si>
  <si>
    <t>Gharesoo Zaringol and Fenderesk (Golestan region)</t>
  </si>
  <si>
    <t>IDB General Procurement Notice (Not specified)</t>
  </si>
  <si>
    <t>Construction of Gharesoo Zaringol Irrigation &amp; Drainage Network, Fenderesk Dam, and Flood Prevention System</t>
  </si>
  <si>
    <t>Islamic Development Bank (IDB) (Financing)</t>
  </si>
  <si>
    <t>Major hydraulic and civil works comprising construction of the Gharesoo Zaringol Irrigation &amp; Drainage Network, Fenderesk Dam, and Flood Prevention System; Mini Hydropower Plant; National Training Center and Carpet Workshop; Water Quality &amp; Data Monitoring Systems; and Consultancy Services for IWRM and Upper Watershed Management.</t>
  </si>
  <si>
    <t>Civil works procured via National Competitive Bidding (NCB); engineering/supervision via shortlist of local consultancy firms; IWRM via IDB Member Country firms; equipment via National Shopping.</t>
  </si>
  <si>
    <t>Baghdad, Basra, Erbil, Kurdistan Region (KRG), Southern Iraqi Marshlands, and Babil Governorate</t>
  </si>
  <si>
    <t>Report No. 94767-IQ; Project IDs: P094650, P087734, P131550, and FY16–FY18 Pipeline</t>
  </si>
  <si>
    <t>Emergency Water Supply; Transport Corridors Project; Irrigation and Drainage Improvement Project; Baghdad Water &amp; Sewerage Improvement; Railway Safety Improvement; Aviation Development; Emergency Road Rehabilitation</t>
  </si>
  <si>
    <t>World Bank Group (IBRD/IDA/IFC/ITF) and Iraq Ministry of Planning (MOP) / Target Ministries</t>
  </si>
  <si>
    <t>Rehabilitation of non-rural roads (target 100 km) and major transport corridors; irrigation and drainage network improvements ($140M); emergency water supply and Baghdad water/sewerage reconstruction ($100M); hydropower rehabilitation (Dokan &amp; Derbandikhan dams); railway safety improvement ($200M); and aviation development.</t>
  </si>
  <si>
    <t>CPS review covers FY13–FY17: P087734 (FY07), P094650 (FY08), P131550 (FY14); Irrigation &amp; Drainage ($140M) and Baghdad Water/Sewerage ($100M) planned FY16; Railway Safety ($200M) &amp; Aviation planned FY17; Iraq Cross Border planned FY18.</t>
  </si>
  <si>
    <t>Lebanon</t>
  </si>
  <si>
    <t>Greater Beirut, Lake Qaraoun (Bekaa Valley), and national scope</t>
  </si>
  <si>
    <t>Report No. 54690-LB / 75814-LB</t>
  </si>
  <si>
    <t>Water Supply Augmentation Project; Lake Qaraoun Pollution Prevention I; Environmental Pollution Abatement Project; Greater Beirut Water Supply; Greater Beirut Urban Transport; Municipal Services Emergency Project; Hydropower Development; PCB Management</t>
  </si>
  <si>
    <t>World Bank Group (IBRD/IFC/MIGA/GEF) and Council for Development and Reconstruction (CDR) / Central Tender Board (CTB)</t>
  </si>
  <si>
    <t>Large-scale water supply augmentation (dams/reservoirs and conveyance), environmental and industrial pollution abatement, Lake Qaraoun pollution prevention (wastewater networks and solid waste/leachate protection), Greater Beirut urban transport corridors, municipal infrastructure emergency works, and hydropower development.</t>
  </si>
  <si>
    <t>Water Supply Augmentation approved FY15 (effective Dec 2015); Environmental Pollution Abatement effective Jan 2016; Lake Qaraoun Pollution Prevention I ($55M) under preparation FY16; Greater Beirut Urban Transport ($200M) &amp; Infrastructure Investment ($120M) planned FY18/19.</t>
  </si>
  <si>
    <t>Basrah, Baiji, Samawah, Baghdad, Kurdistan Region, Mid-Western Iraq, and Southern Marshlands</t>
  </si>
  <si>
    <t>JICA ODA Schemes (LA, TCDP, CTR, DD, TCP)</t>
  </si>
  <si>
    <t>Basrah &amp; Baiji Refinery Upgrading; Crude Oil Export Facility Reconstruction; Port Sector Rehabilitation; Samawah Bridges and Roads Construction; Comprehensive Waste Management; Regional Water Supply &amp; Sewerage; Efficient Irrigation Water Use</t>
  </si>
  <si>
    <t>Japan International Cooperation Agency (JICA) / Government of Iraq</t>
  </si>
  <si>
    <t>Sanitary landfill and comprehensive solid waste management to stop groundwater pollution from untreated leachate; port sector rehabilitation; Samawah bridges and road construction; Basrah and Baiji oil refinery upgrading and crude oil spill response/containment; water supply and sewerage upgrades across Baghdad, Basrah, and Kurdistan; and arid-region irrigation improvements.</t>
  </si>
  <si>
    <t>Rolling JICA implementation schedule spanning Before JFY 2015 through JFY 2020 (as of April 2016), covering Loan Aid (LA), Detailed Design (DD), and Technical Cooperation (CTR/TCDP/TCP).</t>
  </si>
  <si>
    <t>Jordan Valley, Badia, Red Sea-Dead Sea corridor, Tafila, and national scope</t>
  </si>
  <si>
    <t>Report No. 102746-JO; Project IDs: P154047, P144832, P145241, P128689, P154299, P105036, P132314</t>
  </si>
  <si>
    <t>Country Partnership Framework FY17–FY22: JO-Badia Ecosystem &amp; Livelihoods; Energy/Water Sector Reforms DPL; Red Sea-Dead Sea Partial Risk Guarantee; JO-Transport Sector (TA); Treated Wastewater Reuse; IFC Wind &amp; Solar Plants</t>
  </si>
  <si>
    <t>World Bank Group (IBRD/IFC/MIGA/GEF)</t>
  </si>
  <si>
    <t>Ecosystem and livelihoods restoration in the arid Badia region (water harvesting/storage ponds), energy and water sector policy reforms, capacity building for treated wastewater reuse in agriculture, irrigation water management in the Jordan Valley, transport sector technical assistance, proposed Red Sea-Dead Sea water conveyance support, and IFC renewable energy (Tafila Wind &amp; 7 Solar plants).</t>
  </si>
  <si>
    <t>CPF covers FY17–FY22 (dated June 15, 2016). Active portfolio approved 2009–2016; EU sector intervention indicative allocations span 2014–2017; proposed Red Sea-Dead Sea and 2nd Energy/Water DPL targeted for FY17.</t>
  </si>
  <si>
    <t>Oman</t>
  </si>
  <si>
    <t>Regions in Oman vulnerable to water stress (national/rural farm level)</t>
  </si>
  <si>
    <t>Corporate Output Indicators 2.1.1, 3.3.1, 4.2.1 &amp; 5.3.2 (Sub-item 2.3.2)</t>
  </si>
  <si>
    <t>Pilot-project of Integrated Water Resources Management (IWRM) in regions vulnerable to water stress &amp; NENA Agricultural Capacity Support</t>
  </si>
  <si>
    <t>Food and Agriculture Organization (FAO) with Oman Ministries (Agriculture &amp; Fisheries, Environment &amp; Climate Affairs, Regional Municipalities &amp; Water Resources), PAEW, Haya, TRC</t>
  </si>
  <si>
    <t>Farm-level water management interventions and one pilot project of integrated water resources management (IWRM) in water-stressed regions of Oman, alongside institutional capacity building for producer organizations and agricultural social protection frameworks.</t>
  </si>
  <si>
    <t>Institutional assessments and producer capacity programs in 2018–2021; IWRM pilot project to be conducted by 2022 (Total FAO resource allocation: $300,000 for IWRM pilot; $50k–$60k for capacity outputs).</t>
  </si>
  <si>
    <t>Targeted coastal communities in Hodeida and Aden</t>
  </si>
  <si>
    <t>P144813 (UPI 22327)</t>
  </si>
  <si>
    <t>RY-Climate Resilience of Coastal Communities (CRCC)</t>
  </si>
  <si>
    <t>World Bank ($20.0M CSCF Grant) / Environment Protection Authority (EPA)</t>
  </si>
  <si>
    <t>Component 1: Climate Resilient Coastal Management, specifically (a) small- and medium-scale coastal protection infrastructure in Hodeida and Aden, (b) ecosystem-based adaptation, and (c) livelihoods support; Component 2: Capacity Building and Climate Risk Management; Component 3: Project Coordination.</t>
  </si>
  <si>
    <t>Identification completed February 4, 2013; TTL updated July 1, 2014; status updated December 16, 2016. Consulting services and civil works rollout subject to security/implementation conditions.</t>
  </si>
  <si>
    <t>Amman (WAJ HQ), North Amman (Shafa Badran), Zarqa (Sukhneh), Balqa (As Salt), and Irbid</t>
  </si>
  <si>
    <t>KfW Notice Dated 01.12.2016 (Kategorie: WASSER-ABWASSER)</t>
  </si>
  <si>
    <t>Water-Wastewater Sector Project (Wasser-Abwasser-Sektorprojekt): Sewerage, Sludge Treatment &amp; Agricultural Reuse</t>
  </si>
  <si>
    <t>KfW-Entwicklungsbank (€50M loan; €55M total cost) / Ministry of Water and Irrigation - Water Authority of Jordan (WAJ)</t>
  </si>
  <si>
    <t>Construction, supplies, and consulting services for wastewater collection/sewer networks, energy-efficient sewage sludge treatment and utilization (Klärschlammbehandlung), and expansion of large-scale treated wastewater reuse systems for agriculture in North Amman (Shafa Badran), Zarqa (Sukhneh), Balqa (As Salt), and Irbid.</t>
  </si>
  <si>
    <t>Notice dated December 1, 2016. Tender documents for Shafa Badran sewer networks prepared since mid-2015; remaining design and tender documents to be prepared by project consultants followed by international public bidding.</t>
  </si>
  <si>
    <t>High: Solid waste management projects (sanitary landfills) and sewage/wastewater treatment facilities directly require geosynthetic basal lining, capping systems, geomembranes (Carbofol), geosynthetic clay liners (Bentofix GCLs), filtration geotextiles (Secutex), and drainage geocomposites (Secudrain).</t>
  </si>
  <si>
    <t>High: National solid waste management infrastructure involves sanitary landfill cell construction, leachate containment ponds, gas/drainage layers, and dumpsite capping—core applications for Naue's basal lining, drainage, and barrier systems.</t>
  </si>
  <si>
    <t>High: Dam construction (Fenderesk Dam), flood prevention embankments, and irrigation/drainage canals heavily require waterproofing geomembrane/GCL liners, nonwoven filtration geotextiles, erosion control mats (Secumat), and soil reinforcement geogrids (Secugrid).</t>
  </si>
  <si>
    <t>High: Road rehabilitation, highways, railway trackbed stabilization, aviation subbases, dam rehab, and irrigation/drainage channels extensively utilize Secugrid/Combigrid geogrids for base reinforcement, Secutex geotextiles for separation/filtration, and canal lining systems.</t>
  </si>
  <si>
    <t>Medium to High: Water supply augmentation (water reservoirs/dams), industrial/environmental pollution containment at Lake Qaraoun, and Greater Beirut urban transport infrastructure offer strong opportunities for geomembranes, GCLs, and road reinforcement geogrids.</t>
  </si>
  <si>
    <t>High: Explicitly highlights the lack of sanitary landfills causing groundwater contamination from untreated leachate, alongside port/coastal rehabilitation, road/bridge construction, and secondary oil/gas tank farm containment—prime applications for Naue lining, coastal protection, and reinforcement products.</t>
  </si>
  <si>
    <t>Low to Medium: Portfolio is heavily weighted toward Development Policy Loans (DPL), capacity building, and technical assistance; however, physical sub-projects in Badia water-harvesting ponds, treated wastewater storage reservoirs, solar/wind access roads, and Red Sea-Dead Sea brine/water conveyance could require geosynthetics.</t>
  </si>
  <si>
    <t>Low to Medium: Small-scale pilot budget ($300k) and strong policy/capacity focus limit volume potential, though farm-level irrigation ponds or water-harvesting storage could have minor local relevance for geomembrane pond liners.</t>
  </si>
  <si>
    <t>High: Small- and medium-scale coastal protection infrastructure directly aligns with Naue's coastal erosion protection solutions, including Secutex Soft Rock geotextile sand containers, marine filter layers, and scour protection systems.</t>
  </si>
  <si>
    <t>Medium to High: Sewage sludge treatment/drying beds, digestate lagoons, and large-scale agricultural wastewater reuse storage reservoirs frequently require Carbofol geomembranes, Bentofix GCLs, and Secutex filtration/drainage geotextiles.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</si>
</sst>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5"/>
      <color rgb="FF1B365D"/>
      <name val="Calibri"/>
    </font>
    <font>
      <i/>
      <sz val="10"/>
      <color rgb="FF4A5568"/>
      <name val="Calibri"/>
    </font>
    <font>
      <b/>
      <sz val="11"/>
      <color rgb="FFFFFFFF"/>
      <name val="Calibri"/>
    </font>
    <font>
      <b/>
      <sz val="10"/>
      <color rgb="FF1A202C"/>
      <name val="Calibri"/>
    </font>
    <font>
      <sz val="10"/>
      <color rgb="FF1A202C"/>
      <name val="Calibri"/>
    </font>
    <font>
      <b/>
      <sz val="10"/>
      <color rgb="FF22543D"/>
      <name val="Calibri"/>
    </font>
    <font>
      <b/>
      <sz val="10"/>
      <color rgb="FF2A4365"/>
      <name val="Calibri"/>
    </font>
    <font>
      <b/>
      <sz val="10"/>
      <color rgb="FF744210"/>
      <name val="Calibri"/>
    </font>
    <font>
      <b/>
      <sz val="10"/>
      <color rgb="FF9C4221"/>
      <name val="Calibri"/>
    </font>
    <font>
      <b/>
      <sz val="10"/>
      <color rgb="FF822727"/>
      <name val="Calibri"/>
    </font>
    <font>
      <sz val="10"/>
      <color rgb="FF1E293B"/>
      <name val="Calibri"/>
    </font>
    <font>
      <b/>
      <sz val="10"/>
      <color rgb="FF1E293B"/>
      <name val="Calibri"/>
    </font>
  </fonts>
  <fills count="12">
    <fill>
      <patternFill patternType="none"/>
    </fill>
    <fill>
      <patternFill patternType="gray125"/>
    </fill>
    <fill>
      <patternFill patternType="solid">
        <fgColor rgb="FF1B365D"/>
        <bgColor rgb="FF1B365D"/>
      </patternFill>
    </fill>
    <fill>
      <patternFill patternType="solid">
        <fgColor rgb="FFFFFFFF"/>
        <bgColor rgb="FFFFFFFF"/>
      </patternFill>
    </fill>
    <fill>
      <patternFill patternType="solid">
        <fgColor rgb="FFC6F6D5"/>
        <bgColor rgb="FFC6F6D5"/>
      </patternFill>
    </fill>
    <fill>
      <patternFill patternType="solid">
        <fgColor rgb="FFF4F7FA"/>
        <bgColor rgb="FFF4F7FA"/>
      </patternFill>
    </fill>
    <fill>
      <patternFill patternType="solid">
        <fgColor rgb="FFBEE3F8"/>
        <bgColor rgb="FFBEE3F8"/>
      </patternFill>
    </fill>
    <fill>
      <patternFill patternType="solid">
        <fgColor rgb="FFFEFCBF"/>
        <bgColor rgb="FFFEFCBF"/>
      </patternFill>
    </fill>
    <fill>
      <patternFill patternType="solid">
        <fgColor rgb="FFFFFAF0"/>
        <bgColor rgb="FFFFFAF0"/>
      </patternFill>
    </fill>
    <fill>
      <patternFill patternType="solid">
        <fgColor rgb="FFFED7D7"/>
        <bgColor rgb="FFFED7D7"/>
      </patternFill>
    </fill>
    <fill>
      <patternFill patternType="solid">
        <fgColor rgb="FFE2E8F0"/>
        <bgColor rgb="FFE2E8F0"/>
      </patternFill>
    </fill>
    <fill>
      <patternFill patternType="solid">
        <fgColor rgb="FFF8FAFC"/>
        <bgColor rgb="FFF8FAFC"/>
      </patternFill>
    </fill>
  </fills>
  <borders count="4">
    <border>
      <left/>
      <right/>
      <top/>
      <bottom/>
      <diagonal/>
    </border>
    <border>
      <left style="thin">
        <color rgb="FFCBD5E1"/>
      </left>
      <right style="thin">
        <color rgb="FFCBD5E1"/>
      </right>
      <top style="medium">
        <color rgb="FF1B365D"/>
      </top>
      <bottom style="medium">
        <color rgb="FF1B365D"/>
      </bottom>
      <diagonal/>
    </border>
    <border>
      <left style="thin">
        <color rgb="FFCBD5E1"/>
      </left>
      <right style="thin">
        <color rgb="FFCBD5E1"/>
      </right>
      <top style="thin">
        <color rgb="FFCBD5E1"/>
      </top>
      <bottom style="thin">
        <color rgb="FFCBD5E1"/>
      </bottom>
      <diagonal/>
    </border>
    <border>
      <left style="thin">
        <color rgb="FFCBD5E1"/>
      </left>
      <right style="thin">
        <color rgb="FFCBD5E1"/>
      </right>
      <top style="thin">
        <color rgb="FFCBD5E1"/>
      </top>
      <bottom style="double">
        <color rgb="FF1B365D"/>
      </bottom>
      <diagonal/>
    </border>
  </borders>
  <cellStyleXfs count="1">
    <xf numFmtId="0" fontId="0" fillId="0" borderId="0"/>
  </cellStyleXfs>
  <cellXfs count="37">
    <xf numFmtId="0" fontId="0" fillId="0" borderId="0" xfId="0"/>
    <xf numFmtId="0" fontId="3" fillId="2" borderId="1" xfId="0" applyFont="1" applyFill="1" applyBorder="1" applyAlignment="1">
      <alignment horizontal="center" vertical="center" wrapText="1"/>
    </xf>
    <xf numFmtId="0" fontId="4" fillId="3" borderId="2" xfId="0" applyFont="1" applyFill="1" applyBorder="1" applyAlignment="1">
      <alignment horizontal="left" vertical="top" wrapText="1"/>
    </xf>
    <xf numFmtId="0" fontId="5" fillId="3" borderId="2" xfId="0" applyFont="1" applyFill="1" applyBorder="1" applyAlignment="1">
      <alignment horizontal="left" vertical="top" wrapText="1"/>
    </xf>
    <xf numFmtId="0" fontId="6" fillId="4"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5" fillId="5" borderId="2" xfId="0" applyFont="1" applyFill="1" applyBorder="1" applyAlignment="1">
      <alignment horizontal="left" vertical="top" wrapText="1"/>
    </xf>
    <xf numFmtId="0" fontId="7" fillId="6" borderId="2" xfId="0" applyFont="1" applyFill="1" applyBorder="1" applyAlignment="1">
      <alignment horizontal="left" vertical="top" wrapText="1"/>
    </xf>
    <xf numFmtId="0" fontId="8" fillId="7" borderId="2" xfId="0" applyFont="1" applyFill="1" applyBorder="1" applyAlignment="1">
      <alignment horizontal="left" vertical="top" wrapText="1"/>
    </xf>
    <xf numFmtId="0" fontId="9" fillId="8" borderId="2" xfId="0" applyFont="1" applyFill="1" applyBorder="1" applyAlignment="1">
      <alignment horizontal="left" vertical="top" wrapText="1"/>
    </xf>
    <xf numFmtId="0" fontId="10" fillId="9" borderId="2" xfId="0" applyFont="1" applyFill="1" applyBorder="1" applyAlignment="1">
      <alignment horizontal="left" vertical="top" wrapText="1"/>
    </xf>
    <xf numFmtId="0" fontId="4" fillId="3" borderId="2" xfId="0" applyFont="1" applyFill="1" applyBorder="1" applyAlignment="1">
      <alignment horizontal="left" vertical="center" wrapText="1"/>
    </xf>
    <xf numFmtId="0" fontId="5" fillId="3" borderId="2" xfId="0" applyFont="1" applyFill="1" applyBorder="1" applyAlignment="1">
      <alignment horizontal="left" vertical="center" wrapText="1"/>
    </xf>
    <xf numFmtId="0" fontId="6" fillId="4" borderId="2" xfId="0" applyFont="1" applyFill="1" applyBorder="1" applyAlignment="1">
      <alignment horizontal="center" vertical="center"/>
    </xf>
    <xf numFmtId="3" fontId="5" fillId="3" borderId="2" xfId="0" applyNumberFormat="1" applyFont="1" applyFill="1" applyBorder="1" applyAlignment="1">
      <alignment horizontal="center" vertical="center"/>
    </xf>
    <xf numFmtId="3" fontId="4" fillId="3" borderId="2" xfId="0" applyNumberFormat="1" applyFont="1" applyFill="1" applyBorder="1" applyAlignment="1">
      <alignment horizontal="center" vertical="center"/>
    </xf>
    <xf numFmtId="0" fontId="4" fillId="5" borderId="2" xfId="0" applyFont="1" applyFill="1" applyBorder="1" applyAlignment="1">
      <alignment horizontal="left" vertical="center" wrapText="1"/>
    </xf>
    <xf numFmtId="0" fontId="5" fillId="5" borderId="2" xfId="0" applyFont="1" applyFill="1" applyBorder="1" applyAlignment="1">
      <alignment horizontal="left" vertical="center" wrapText="1"/>
    </xf>
    <xf numFmtId="3" fontId="5" fillId="5" borderId="2" xfId="0" applyNumberFormat="1" applyFont="1" applyFill="1" applyBorder="1" applyAlignment="1">
      <alignment horizontal="center" vertical="center"/>
    </xf>
    <xf numFmtId="3" fontId="4" fillId="5" borderId="2" xfId="0" applyNumberFormat="1" applyFont="1" applyFill="1" applyBorder="1" applyAlignment="1">
      <alignment horizontal="center" vertical="center"/>
    </xf>
    <xf numFmtId="0" fontId="7" fillId="6" borderId="2" xfId="0" applyFont="1" applyFill="1" applyBorder="1" applyAlignment="1">
      <alignment horizontal="center" vertical="center"/>
    </xf>
    <xf numFmtId="0" fontId="8" fillId="7" borderId="2" xfId="0" applyFont="1" applyFill="1" applyBorder="1" applyAlignment="1">
      <alignment horizontal="center" vertical="center"/>
    </xf>
    <xf numFmtId="0" fontId="9" fillId="8" borderId="2" xfId="0" applyFont="1" applyFill="1" applyBorder="1" applyAlignment="1">
      <alignment horizontal="center" vertical="center"/>
    </xf>
    <xf numFmtId="0" fontId="10" fillId="9" borderId="2" xfId="0" applyFont="1" applyFill="1" applyBorder="1" applyAlignment="1">
      <alignment horizontal="center" vertical="center"/>
    </xf>
    <xf numFmtId="0" fontId="4" fillId="10" borderId="3" xfId="0" applyFont="1" applyFill="1" applyBorder="1" applyAlignment="1">
      <alignment horizontal="left" vertical="center" wrapText="1"/>
    </xf>
    <xf numFmtId="0" fontId="4" fillId="10" borderId="3" xfId="0" applyFont="1" applyFill="1" applyBorder="1" applyAlignment="1">
      <alignment horizontal="center" vertical="center"/>
    </xf>
    <xf numFmtId="3" fontId="4" fillId="10" borderId="3" xfId="0" applyNumberFormat="1" applyFont="1" applyFill="1" applyBorder="1" applyAlignment="1">
      <alignment horizontal="center" vertical="center"/>
    </xf>
    <xf numFmtId="0" fontId="1" fillId="0" borderId="0" xfId="0" applyFont="1" applyAlignment="1">
      <alignment horizontal="left" vertical="center"/>
    </xf>
    <xf numFmtId="0" fontId="0" fillId="0" borderId="0" xfId="0"/>
    <xf numFmtId="0" fontId="2" fillId="0" borderId="0" xfId="0" applyFont="1" applyAlignment="1">
      <alignment horizontal="left" vertical="center"/>
    </xf>
    <xf numFmtId="0" fontId="0" fillId="0" borderId="0" xfId="0" applyAlignment="1">
      <alignment wrapText="1"/>
    </xf>
    <xf numFmtId="0" fontId="11" fillId="3" borderId="2" xfId="0" applyFont="1" applyFill="1" applyBorder="1" applyAlignment="1">
      <alignment horizontal="center" vertical="top" wrapText="1"/>
    </xf>
    <xf numFmtId="0" fontId="12" fillId="3" borderId="2" xfId="0" applyFont="1" applyFill="1" applyBorder="1" applyAlignment="1">
      <alignment horizontal="center" vertical="top" wrapText="1"/>
    </xf>
    <xf numFmtId="0" fontId="11" fillId="3" borderId="2" xfId="0" applyFont="1" applyFill="1" applyBorder="1" applyAlignment="1">
      <alignment horizontal="left" vertical="top" wrapText="1"/>
    </xf>
    <xf numFmtId="0" fontId="11" fillId="11" borderId="2" xfId="0" applyFont="1" applyFill="1" applyBorder="1" applyAlignment="1">
      <alignment horizontal="center" vertical="top" wrapText="1"/>
    </xf>
    <xf numFmtId="0" fontId="12" fillId="11" borderId="2" xfId="0" applyFont="1" applyFill="1" applyBorder="1" applyAlignment="1">
      <alignment horizontal="center" vertical="top" wrapText="1"/>
    </xf>
    <xf numFmtId="0" fontId="11" fillId="11" borderId="2"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10"/>
    </mc:Choice>
    <mc:Fallback>
      <c:style val="10"/>
    </mc:Fallback>
  </mc:AlternateContent>
  <c:chart>
    <c:title>
      <c:tx>
        <c:rich>
          <a:bodyPr/>
          <a:lstStyle/>
          <a:p>
            <a:pPr>
              <a:defRPr/>
            </a:pPr>
            <a:r>
              <a:t>Sub-Project &amp; Tender Breakdown by Naue Relevance Tier</a:t>
            </a:r>
          </a:p>
        </c:rich>
      </c:tx>
      <c:overlay val="0"/>
    </c:title>
    <c:autoTitleDeleted val="0"/>
    <c:plotArea>
      <c:layout/>
      <c:barChart>
        <c:barDir val="col"/>
        <c:grouping val="stacked"/>
        <c:varyColors val="0"/>
        <c:ser>
          <c:idx val="0"/>
          <c:order val="0"/>
          <c:tx>
            <c:strRef>
              <c:f>'Opportunity Dashboard &amp; KPIs'!$G$4</c:f>
              <c:strCache>
                <c:ptCount val="1"/>
                <c:pt idx="0">
                  <c:v>Very High / High Relevance Opportunities</c:v>
                </c:pt>
              </c:strCache>
            </c:strRef>
          </c:tx>
          <c:spPr>
            <a:ln>
              <a:prstDash val="solid"/>
            </a:ln>
          </c:spPr>
          <c:invertIfNegative val="0"/>
          <c:cat>
            <c:strRef>
              <c:f>'Opportunity Dashboard &amp; KPIs'!$C$5:$C$11</c:f>
              <c:strCache>
                <c:ptCount val="7"/>
                <c:pt idx="0">
                  <c:v>Wadi Tuban Flood Response &amp; Canal Rehabilitation (ERA)</c:v>
                </c:pt>
                <c:pt idx="1">
                  <c:v>Zahrat Al-Finjan &amp; Al-Minya Sanitary Landfills Program</c:v>
                </c:pt>
                <c:pt idx="2">
                  <c:v>Iraq Social Fund for Development (Community Sub-Projects)</c:v>
                </c:pt>
                <c:pt idx="3">
                  <c:v>EODP-AF: MOWR Anbar Water Works &amp; Road Rehab Phase 1</c:v>
                </c:pt>
                <c:pt idx="4">
                  <c:v>MOA Agriculture Resilience &amp; Water Harvesting (ARDI)</c:v>
                </c:pt>
                <c:pt idx="5">
                  <c:v>WAJ Non-Revenue Water (NRW), Energy Efficiency &amp; RE</c:v>
                </c:pt>
                <c:pt idx="6">
                  <c:v>Blueing the Black Sea GEF Regional Project</c:v>
                </c:pt>
              </c:strCache>
            </c:strRef>
          </c:cat>
          <c:val>
            <c:numRef>
              <c:f>'Opportunity Dashboard &amp; KPIs'!$G$5:$G$11</c:f>
              <c:numCache>
                <c:formatCode>#,##0</c:formatCode>
                <c:ptCount val="7"/>
                <c:pt idx="0">
                  <c:v>4</c:v>
                </c:pt>
                <c:pt idx="1">
                  <c:v>2</c:v>
                </c:pt>
                <c:pt idx="2">
                  <c:v>20</c:v>
                </c:pt>
                <c:pt idx="3">
                  <c:v>2</c:v>
                </c:pt>
                <c:pt idx="4">
                  <c:v>0</c:v>
                </c:pt>
                <c:pt idx="5">
                  <c:v>0</c:v>
                </c:pt>
                <c:pt idx="6">
                  <c:v>0</c:v>
                </c:pt>
              </c:numCache>
            </c:numRef>
          </c:val>
          <c:extLst>
            <c:ext xmlns:c16="http://schemas.microsoft.com/office/drawing/2014/chart" uri="{C3380CC4-5D6E-409C-BE32-E72D297353CC}">
              <c16:uniqueId val="{00000000-EC12-4653-8569-24370B165EF0}"/>
            </c:ext>
          </c:extLst>
        </c:ser>
        <c:ser>
          <c:idx val="1"/>
          <c:order val="1"/>
          <c:tx>
            <c:strRef>
              <c:f>'Opportunity Dashboard &amp; KPIs'!$H$4</c:f>
              <c:strCache>
                <c:ptCount val="1"/>
                <c:pt idx="0">
                  <c:v>Medium Relevance Opportunities</c:v>
                </c:pt>
              </c:strCache>
            </c:strRef>
          </c:tx>
          <c:spPr>
            <a:ln>
              <a:prstDash val="solid"/>
            </a:ln>
          </c:spPr>
          <c:invertIfNegative val="0"/>
          <c:cat>
            <c:strRef>
              <c:f>'Opportunity Dashboard &amp; KPIs'!$C$5:$C$11</c:f>
              <c:strCache>
                <c:ptCount val="7"/>
                <c:pt idx="0">
                  <c:v>Wadi Tuban Flood Response &amp; Canal Rehabilitation (ERA)</c:v>
                </c:pt>
                <c:pt idx="1">
                  <c:v>Zahrat Al-Finjan &amp; Al-Minya Sanitary Landfills Program</c:v>
                </c:pt>
                <c:pt idx="2">
                  <c:v>Iraq Social Fund for Development (Community Sub-Projects)</c:v>
                </c:pt>
                <c:pt idx="3">
                  <c:v>EODP-AF: MOWR Anbar Water Works &amp; Road Rehab Phase 1</c:v>
                </c:pt>
                <c:pt idx="4">
                  <c:v>MOA Agriculture Resilience &amp; Water Harvesting (ARDI)</c:v>
                </c:pt>
                <c:pt idx="5">
                  <c:v>WAJ Non-Revenue Water (NRW), Energy Efficiency &amp; RE</c:v>
                </c:pt>
                <c:pt idx="6">
                  <c:v>Blueing the Black Sea GEF Regional Project</c:v>
                </c:pt>
              </c:strCache>
            </c:strRef>
          </c:cat>
          <c:val>
            <c:numRef>
              <c:f>'Opportunity Dashboard &amp; KPIs'!$H$5:$H$11</c:f>
              <c:numCache>
                <c:formatCode>#,##0</c:formatCode>
                <c:ptCount val="7"/>
                <c:pt idx="0">
                  <c:v>4</c:v>
                </c:pt>
                <c:pt idx="1">
                  <c:v>0</c:v>
                </c:pt>
                <c:pt idx="2">
                  <c:v>12</c:v>
                </c:pt>
                <c:pt idx="3">
                  <c:v>1</c:v>
                </c:pt>
                <c:pt idx="4">
                  <c:v>6</c:v>
                </c:pt>
                <c:pt idx="5">
                  <c:v>3</c:v>
                </c:pt>
                <c:pt idx="6">
                  <c:v>4</c:v>
                </c:pt>
              </c:numCache>
            </c:numRef>
          </c:val>
          <c:extLst>
            <c:ext xmlns:c16="http://schemas.microsoft.com/office/drawing/2014/chart" uri="{C3380CC4-5D6E-409C-BE32-E72D297353CC}">
              <c16:uniqueId val="{00000001-EC12-4653-8569-24370B165EF0}"/>
            </c:ext>
          </c:extLst>
        </c:ser>
        <c:ser>
          <c:idx val="2"/>
          <c:order val="2"/>
          <c:tx>
            <c:strRef>
              <c:f>'Opportunity Dashboard &amp; KPIs'!$I$4</c:f>
              <c:strCache>
                <c:ptCount val="1"/>
                <c:pt idx="0">
                  <c:v>Low / No Relevance Tenders</c:v>
                </c:pt>
              </c:strCache>
            </c:strRef>
          </c:tx>
          <c:spPr>
            <a:ln>
              <a:prstDash val="solid"/>
            </a:ln>
          </c:spPr>
          <c:invertIfNegative val="0"/>
          <c:cat>
            <c:strRef>
              <c:f>'Opportunity Dashboard &amp; KPIs'!$C$5:$C$11</c:f>
              <c:strCache>
                <c:ptCount val="7"/>
                <c:pt idx="0">
                  <c:v>Wadi Tuban Flood Response &amp; Canal Rehabilitation (ERA)</c:v>
                </c:pt>
                <c:pt idx="1">
                  <c:v>Zahrat Al-Finjan &amp; Al-Minya Sanitary Landfills Program</c:v>
                </c:pt>
                <c:pt idx="2">
                  <c:v>Iraq Social Fund for Development (Community Sub-Projects)</c:v>
                </c:pt>
                <c:pt idx="3">
                  <c:v>EODP-AF: MOWR Anbar Water Works &amp; Road Rehab Phase 1</c:v>
                </c:pt>
                <c:pt idx="4">
                  <c:v>MOA Agriculture Resilience &amp; Water Harvesting (ARDI)</c:v>
                </c:pt>
                <c:pt idx="5">
                  <c:v>WAJ Non-Revenue Water (NRW), Energy Efficiency &amp; RE</c:v>
                </c:pt>
                <c:pt idx="6">
                  <c:v>Blueing the Black Sea GEF Regional Project</c:v>
                </c:pt>
              </c:strCache>
            </c:strRef>
          </c:cat>
          <c:val>
            <c:numRef>
              <c:f>'Opportunity Dashboard &amp; KPIs'!$I$5:$I$11</c:f>
              <c:numCache>
                <c:formatCode>#,##0</c:formatCode>
                <c:ptCount val="7"/>
                <c:pt idx="0">
                  <c:v>0</c:v>
                </c:pt>
                <c:pt idx="1">
                  <c:v>1</c:v>
                </c:pt>
                <c:pt idx="2">
                  <c:v>54</c:v>
                </c:pt>
                <c:pt idx="3">
                  <c:v>0</c:v>
                </c:pt>
                <c:pt idx="4">
                  <c:v>21</c:v>
                </c:pt>
                <c:pt idx="5">
                  <c:v>3</c:v>
                </c:pt>
                <c:pt idx="6">
                  <c:v>1</c:v>
                </c:pt>
              </c:numCache>
            </c:numRef>
          </c:val>
          <c:extLst>
            <c:ext xmlns:c16="http://schemas.microsoft.com/office/drawing/2014/chart" uri="{C3380CC4-5D6E-409C-BE32-E72D297353CC}">
              <c16:uniqueId val="{00000002-EC12-4653-8569-24370B165EF0}"/>
            </c:ext>
          </c:extLst>
        </c:ser>
        <c:dLbls>
          <c:showLegendKey val="0"/>
          <c:showVal val="0"/>
          <c:showCatName val="0"/>
          <c:showSerName val="0"/>
          <c:showPercent val="0"/>
          <c:showBubbleSize val="0"/>
        </c:dLbls>
        <c:gapWidth val="150"/>
        <c:overlap val="100"/>
        <c:axId val="10"/>
        <c:axId val="100"/>
      </c:barChart>
      <c:catAx>
        <c:axId val="10"/>
        <c:scaling>
          <c:orientation val="minMax"/>
        </c:scaling>
        <c:delete val="0"/>
        <c:axPos val="b"/>
        <c:title>
          <c:tx>
            <c:rich>
              <a:bodyPr/>
              <a:lstStyle/>
              <a:p>
                <a:pPr>
                  <a:defRPr/>
                </a:pPr>
                <a:r>
                  <a:t>Project / Program</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t>Number of Sub-Projects / Tenders</a:t>
                </a:r>
              </a:p>
            </c:rich>
          </c:tx>
          <c:overlay val="0"/>
        </c:title>
        <c:numFmt formatCode="#,##0"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oneCellAnchor>
    <xdr:from>
      <xdr:col>0</xdr:col>
      <xdr:colOff>0</xdr:colOff>
      <xdr:row>13</xdr:row>
      <xdr:rowOff>0</xdr:rowOff>
    </xdr:from>
    <xdr:ext cx="8640000" cy="4680000"/>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workbookViewId="0">
      <pane ySplit="4" topLeftCell="A30" activePane="bottomLeft" state="frozen"/>
      <selection pane="bottomLeft" activeCell="F33" sqref="F33"/>
    </sheetView>
  </sheetViews>
  <sheetFormatPr defaultRowHeight="15" x14ac:dyDescent="0.25"/>
  <cols>
    <col min="1" max="1" width="18" customWidth="1"/>
    <col min="2" max="2" width="22" customWidth="1"/>
    <col min="3" max="3" width="34" customWidth="1"/>
    <col min="4" max="4" width="36" customWidth="1"/>
    <col min="5" max="5" width="26" customWidth="1"/>
    <col min="6" max="6" width="36" customWidth="1"/>
    <col min="7" max="7" width="32" customWidth="1"/>
    <col min="8" max="8" width="55" customWidth="1"/>
    <col min="9" max="9" width="34" customWidth="1"/>
    <col min="10" max="10" width="55" customWidth="1"/>
  </cols>
  <sheetData>
    <row r="1" spans="1:10" ht="27.95" customHeight="1" x14ac:dyDescent="0.25">
      <c r="A1" s="27" t="s">
        <v>0</v>
      </c>
      <c r="B1" s="28"/>
      <c r="C1" s="28"/>
      <c r="D1" s="28"/>
      <c r="E1" s="28"/>
      <c r="F1" s="28"/>
      <c r="G1" s="28"/>
      <c r="H1" s="28"/>
      <c r="I1" s="28"/>
      <c r="J1" s="28"/>
    </row>
    <row r="2" spans="1:10" ht="18" customHeight="1" x14ac:dyDescent="0.25">
      <c r="A2" s="29" t="s">
        <v>1</v>
      </c>
      <c r="B2" s="28"/>
      <c r="C2" s="28"/>
      <c r="D2" s="28"/>
      <c r="E2" s="28"/>
      <c r="F2" s="28"/>
      <c r="G2" s="28"/>
      <c r="H2" s="28"/>
      <c r="I2" s="28"/>
      <c r="J2" s="28"/>
    </row>
    <row r="3" spans="1:10" ht="8.1" customHeight="1" x14ac:dyDescent="0.25"/>
    <row r="4" spans="1:10" ht="30" customHeight="1" x14ac:dyDescent="0.25">
      <c r="A4" s="1" t="s">
        <v>2</v>
      </c>
      <c r="B4" s="1" t="s">
        <v>3</v>
      </c>
      <c r="C4" s="1" t="s">
        <v>4</v>
      </c>
      <c r="D4" s="1" t="s">
        <v>5</v>
      </c>
      <c r="E4" s="1" t="s">
        <v>6</v>
      </c>
      <c r="F4" s="1" t="s">
        <v>7</v>
      </c>
      <c r="G4" s="1" t="s">
        <v>8</v>
      </c>
      <c r="H4" s="1" t="s">
        <v>9</v>
      </c>
      <c r="I4" s="1" t="s">
        <v>10</v>
      </c>
      <c r="J4" s="1" t="s">
        <v>11</v>
      </c>
    </row>
    <row r="5" spans="1:10" ht="174.95" customHeight="1" x14ac:dyDescent="0.25">
      <c r="A5" s="2" t="s">
        <v>12</v>
      </c>
      <c r="B5" s="2" t="s">
        <v>13</v>
      </c>
      <c r="C5" s="3" t="s">
        <v>14</v>
      </c>
      <c r="D5" s="3" t="s">
        <v>15</v>
      </c>
      <c r="E5" s="2" t="s">
        <v>16</v>
      </c>
      <c r="F5" s="2" t="s">
        <v>17</v>
      </c>
      <c r="G5" s="3" t="s">
        <v>18</v>
      </c>
      <c r="H5" s="3" t="s">
        <v>19</v>
      </c>
      <c r="I5" s="3" t="s">
        <v>20</v>
      </c>
      <c r="J5" s="4" t="s">
        <v>21</v>
      </c>
    </row>
    <row r="6" spans="1:10" ht="174.95" customHeight="1" x14ac:dyDescent="0.25">
      <c r="A6" s="5" t="s">
        <v>12</v>
      </c>
      <c r="B6" s="5" t="s">
        <v>22</v>
      </c>
      <c r="C6" s="6" t="s">
        <v>23</v>
      </c>
      <c r="D6" s="6" t="s">
        <v>24</v>
      </c>
      <c r="E6" s="5" t="s">
        <v>25</v>
      </c>
      <c r="F6" s="5" t="s">
        <v>26</v>
      </c>
      <c r="G6" s="6" t="s">
        <v>27</v>
      </c>
      <c r="H6" s="6" t="s">
        <v>28</v>
      </c>
      <c r="I6" s="6" t="s">
        <v>29</v>
      </c>
      <c r="J6" s="4" t="s">
        <v>30</v>
      </c>
    </row>
    <row r="7" spans="1:10" ht="174.95" customHeight="1" x14ac:dyDescent="0.25">
      <c r="A7" s="2" t="s">
        <v>12</v>
      </c>
      <c r="B7" s="2" t="s">
        <v>31</v>
      </c>
      <c r="C7" s="3" t="s">
        <v>32</v>
      </c>
      <c r="D7" s="3" t="s">
        <v>33</v>
      </c>
      <c r="E7" s="2" t="s">
        <v>34</v>
      </c>
      <c r="F7" s="2" t="s">
        <v>35</v>
      </c>
      <c r="G7" s="3" t="s">
        <v>36</v>
      </c>
      <c r="H7" s="3" t="s">
        <v>37</v>
      </c>
      <c r="I7" s="3" t="s">
        <v>38</v>
      </c>
      <c r="J7" s="7" t="s">
        <v>39</v>
      </c>
    </row>
    <row r="8" spans="1:10" ht="174.95" customHeight="1" x14ac:dyDescent="0.25">
      <c r="A8" s="5" t="s">
        <v>12</v>
      </c>
      <c r="B8" s="5" t="s">
        <v>31</v>
      </c>
      <c r="C8" s="6" t="s">
        <v>40</v>
      </c>
      <c r="D8" s="6" t="s">
        <v>33</v>
      </c>
      <c r="E8" s="5" t="s">
        <v>41</v>
      </c>
      <c r="F8" s="5" t="s">
        <v>42</v>
      </c>
      <c r="G8" s="6" t="s">
        <v>43</v>
      </c>
      <c r="H8" s="6" t="s">
        <v>44</v>
      </c>
      <c r="I8" s="6" t="s">
        <v>45</v>
      </c>
      <c r="J8" s="8" t="s">
        <v>46</v>
      </c>
    </row>
    <row r="9" spans="1:10" ht="174.95" customHeight="1" x14ac:dyDescent="0.25">
      <c r="A9" s="2" t="s">
        <v>12</v>
      </c>
      <c r="B9" s="2" t="s">
        <v>47</v>
      </c>
      <c r="C9" s="3" t="s">
        <v>48</v>
      </c>
      <c r="D9" s="3" t="s">
        <v>49</v>
      </c>
      <c r="E9" s="2" t="s">
        <v>50</v>
      </c>
      <c r="F9" s="2" t="s">
        <v>51</v>
      </c>
      <c r="G9" s="3" t="s">
        <v>52</v>
      </c>
      <c r="H9" s="3" t="s">
        <v>53</v>
      </c>
      <c r="I9" s="3" t="s">
        <v>54</v>
      </c>
      <c r="J9" s="8" t="s">
        <v>55</v>
      </c>
    </row>
    <row r="10" spans="1:10" ht="174.95" customHeight="1" x14ac:dyDescent="0.25">
      <c r="A10" s="5" t="s">
        <v>12</v>
      </c>
      <c r="B10" s="5" t="s">
        <v>47</v>
      </c>
      <c r="C10" s="6" t="s">
        <v>56</v>
      </c>
      <c r="D10" s="6" t="s">
        <v>33</v>
      </c>
      <c r="E10" s="5" t="s">
        <v>57</v>
      </c>
      <c r="F10" s="5" t="s">
        <v>58</v>
      </c>
      <c r="G10" s="6" t="s">
        <v>59</v>
      </c>
      <c r="H10" s="6" t="s">
        <v>60</v>
      </c>
      <c r="I10" s="6" t="s">
        <v>61</v>
      </c>
      <c r="J10" s="9" t="s">
        <v>62</v>
      </c>
    </row>
    <row r="11" spans="1:10" ht="174.95" customHeight="1" x14ac:dyDescent="0.25">
      <c r="A11" s="2" t="s">
        <v>12</v>
      </c>
      <c r="B11" s="2" t="s">
        <v>63</v>
      </c>
      <c r="C11" s="3" t="s">
        <v>64</v>
      </c>
      <c r="D11" s="3" t="s">
        <v>65</v>
      </c>
      <c r="E11" s="2" t="s">
        <v>66</v>
      </c>
      <c r="F11" s="2" t="s">
        <v>67</v>
      </c>
      <c r="G11" s="3" t="s">
        <v>68</v>
      </c>
      <c r="H11" s="3" t="s">
        <v>69</v>
      </c>
      <c r="I11" s="3" t="s">
        <v>70</v>
      </c>
      <c r="J11" s="10" t="s">
        <v>71</v>
      </c>
    </row>
    <row r="12" spans="1:10" ht="225" x14ac:dyDescent="0.25">
      <c r="A12" t="s">
        <v>125</v>
      </c>
      <c r="B12" t="s">
        <v>126</v>
      </c>
      <c r="C12" t="s">
        <v>127</v>
      </c>
      <c r="D12" t="s">
        <v>128</v>
      </c>
      <c r="E12" s="30" t="s">
        <v>129</v>
      </c>
      <c r="F12" t="s">
        <v>130</v>
      </c>
      <c r="G12" t="s">
        <v>131</v>
      </c>
      <c r="H12" s="30" t="s">
        <v>132</v>
      </c>
      <c r="I12" s="30" t="s">
        <v>133</v>
      </c>
      <c r="J12" s="30" t="s">
        <v>134</v>
      </c>
    </row>
    <row r="13" spans="1:10" ht="225" x14ac:dyDescent="0.25">
      <c r="A13" t="s">
        <v>125</v>
      </c>
      <c r="B13" t="s">
        <v>126</v>
      </c>
      <c r="C13" t="s">
        <v>135</v>
      </c>
      <c r="D13" t="s">
        <v>136</v>
      </c>
      <c r="E13" s="30" t="s">
        <v>137</v>
      </c>
      <c r="F13" t="s">
        <v>138</v>
      </c>
      <c r="G13" t="s">
        <v>139</v>
      </c>
      <c r="H13" s="30" t="s">
        <v>140</v>
      </c>
      <c r="I13" s="30" t="s">
        <v>141</v>
      </c>
      <c r="J13" s="30" t="s">
        <v>142</v>
      </c>
    </row>
    <row r="14" spans="1:10" ht="409.5" x14ac:dyDescent="0.25">
      <c r="A14" t="s">
        <v>125</v>
      </c>
      <c r="B14" t="s">
        <v>31</v>
      </c>
      <c r="C14" t="s">
        <v>143</v>
      </c>
      <c r="D14" t="s">
        <v>144</v>
      </c>
      <c r="E14" s="30" t="s">
        <v>145</v>
      </c>
      <c r="F14" t="s">
        <v>146</v>
      </c>
      <c r="G14" t="s">
        <v>147</v>
      </c>
      <c r="H14" s="30" t="s">
        <v>148</v>
      </c>
      <c r="I14" s="30" t="s">
        <v>149</v>
      </c>
      <c r="J14" s="30" t="s">
        <v>150</v>
      </c>
    </row>
    <row r="15" spans="1:10" ht="330" x14ac:dyDescent="0.25">
      <c r="A15" t="s">
        <v>125</v>
      </c>
      <c r="B15" t="s">
        <v>31</v>
      </c>
      <c r="C15" t="s">
        <v>151</v>
      </c>
      <c r="D15" t="s">
        <v>152</v>
      </c>
      <c r="E15" s="30" t="s">
        <v>153</v>
      </c>
      <c r="F15" t="s">
        <v>154</v>
      </c>
      <c r="G15" t="s">
        <v>155</v>
      </c>
      <c r="H15" s="30" t="s">
        <v>156</v>
      </c>
      <c r="I15" s="30" t="s">
        <v>157</v>
      </c>
      <c r="J15" s="30" t="s">
        <v>158</v>
      </c>
    </row>
    <row r="16" spans="1:10" ht="195" x14ac:dyDescent="0.25">
      <c r="A16" t="s">
        <v>125</v>
      </c>
      <c r="B16" t="s">
        <v>31</v>
      </c>
      <c r="C16" t="s">
        <v>159</v>
      </c>
      <c r="D16" t="s">
        <v>160</v>
      </c>
      <c r="E16" s="30" t="s">
        <v>161</v>
      </c>
      <c r="F16" t="s">
        <v>162</v>
      </c>
      <c r="G16" t="s">
        <v>163</v>
      </c>
      <c r="H16" s="30" t="s">
        <v>164</v>
      </c>
      <c r="I16" s="30" t="s">
        <v>165</v>
      </c>
      <c r="J16" s="30" t="s">
        <v>166</v>
      </c>
    </row>
    <row r="17" spans="1:10" ht="135" x14ac:dyDescent="0.25">
      <c r="A17" t="s">
        <v>125</v>
      </c>
      <c r="B17" t="s">
        <v>47</v>
      </c>
      <c r="C17" t="s">
        <v>167</v>
      </c>
      <c r="D17" t="s">
        <v>168</v>
      </c>
      <c r="E17" t="s">
        <v>169</v>
      </c>
      <c r="F17" t="s">
        <v>170</v>
      </c>
      <c r="G17" t="s">
        <v>171</v>
      </c>
      <c r="H17" s="30" t="s">
        <v>172</v>
      </c>
      <c r="I17" s="30" t="s">
        <v>173</v>
      </c>
      <c r="J17" s="30" t="s">
        <v>174</v>
      </c>
    </row>
    <row r="18" spans="1:10" ht="180" x14ac:dyDescent="0.25">
      <c r="A18" t="s">
        <v>125</v>
      </c>
      <c r="B18" t="s">
        <v>175</v>
      </c>
      <c r="C18" t="s">
        <v>176</v>
      </c>
      <c r="D18" t="s">
        <v>177</v>
      </c>
      <c r="E18" t="s">
        <v>178</v>
      </c>
      <c r="F18" t="s">
        <v>179</v>
      </c>
      <c r="G18" t="s">
        <v>180</v>
      </c>
      <c r="H18" s="30" t="s">
        <v>181</v>
      </c>
      <c r="I18" s="30" t="s">
        <v>182</v>
      </c>
      <c r="J18" s="30" t="s">
        <v>183</v>
      </c>
    </row>
    <row r="19" spans="1:10" ht="135" x14ac:dyDescent="0.25">
      <c r="A19" t="s">
        <v>125</v>
      </c>
      <c r="B19" t="s">
        <v>184</v>
      </c>
      <c r="C19" t="s">
        <v>185</v>
      </c>
      <c r="D19" t="s">
        <v>186</v>
      </c>
      <c r="E19" t="s">
        <v>187</v>
      </c>
      <c r="F19" t="s">
        <v>188</v>
      </c>
      <c r="G19" t="s">
        <v>189</v>
      </c>
      <c r="H19" s="30" t="s">
        <v>190</v>
      </c>
      <c r="I19" s="30" t="s">
        <v>191</v>
      </c>
      <c r="J19" s="30" t="s">
        <v>192</v>
      </c>
    </row>
    <row r="20" spans="1:10" ht="225" x14ac:dyDescent="0.25">
      <c r="A20" t="s">
        <v>125</v>
      </c>
      <c r="B20" t="s">
        <v>193</v>
      </c>
      <c r="C20" t="s">
        <v>194</v>
      </c>
      <c r="D20" t="s">
        <v>177</v>
      </c>
      <c r="E20" s="30" t="s">
        <v>195</v>
      </c>
      <c r="F20" t="s">
        <v>196</v>
      </c>
      <c r="G20" t="s">
        <v>197</v>
      </c>
      <c r="H20" s="30" t="s">
        <v>198</v>
      </c>
      <c r="I20" s="30" t="s">
        <v>199</v>
      </c>
      <c r="J20" s="30" t="s">
        <v>200</v>
      </c>
    </row>
    <row r="21" spans="1:10" ht="195" x14ac:dyDescent="0.25">
      <c r="A21" t="s">
        <v>125</v>
      </c>
      <c r="B21" t="s">
        <v>13</v>
      </c>
      <c r="C21" t="s">
        <v>201</v>
      </c>
      <c r="D21" t="s">
        <v>202</v>
      </c>
      <c r="E21" t="s">
        <v>203</v>
      </c>
      <c r="F21" t="s">
        <v>204</v>
      </c>
      <c r="G21" t="s">
        <v>205</v>
      </c>
      <c r="H21" s="30" t="s">
        <v>206</v>
      </c>
      <c r="I21" s="30" t="s">
        <v>207</v>
      </c>
      <c r="J21" s="30" t="s">
        <v>208</v>
      </c>
    </row>
    <row r="22" spans="1:10" ht="210" x14ac:dyDescent="0.25">
      <c r="A22" t="s">
        <v>125</v>
      </c>
      <c r="B22" t="s">
        <v>31</v>
      </c>
      <c r="C22" t="s">
        <v>209</v>
      </c>
      <c r="D22" t="s">
        <v>210</v>
      </c>
      <c r="E22" s="30" t="s">
        <v>211</v>
      </c>
      <c r="F22" t="s">
        <v>212</v>
      </c>
      <c r="G22" t="s">
        <v>213</v>
      </c>
      <c r="H22" s="30" t="s">
        <v>214</v>
      </c>
      <c r="I22" s="30" t="s">
        <v>215</v>
      </c>
      <c r="J22" s="30" t="s">
        <v>216</v>
      </c>
    </row>
    <row r="23" spans="1:10" ht="225" x14ac:dyDescent="0.25">
      <c r="A23" t="s">
        <v>125</v>
      </c>
      <c r="B23" t="s">
        <v>217</v>
      </c>
      <c r="C23" t="s">
        <v>218</v>
      </c>
      <c r="D23" t="s">
        <v>177</v>
      </c>
      <c r="E23" t="s">
        <v>219</v>
      </c>
      <c r="F23" t="s">
        <v>220</v>
      </c>
      <c r="G23" t="s">
        <v>221</v>
      </c>
      <c r="H23" s="30" t="s">
        <v>222</v>
      </c>
      <c r="I23" s="30" t="s">
        <v>223</v>
      </c>
      <c r="J23" s="30" t="s">
        <v>224</v>
      </c>
    </row>
    <row r="24" spans="1:10" ht="150" x14ac:dyDescent="0.25">
      <c r="A24" t="s">
        <v>125</v>
      </c>
      <c r="B24" t="s">
        <v>225</v>
      </c>
      <c r="C24" t="s">
        <v>226</v>
      </c>
      <c r="D24" t="s">
        <v>177</v>
      </c>
      <c r="E24" t="s">
        <v>227</v>
      </c>
      <c r="F24" t="s">
        <v>228</v>
      </c>
      <c r="G24" t="s">
        <v>229</v>
      </c>
      <c r="H24" s="30" t="s">
        <v>230</v>
      </c>
      <c r="I24" s="30" t="s">
        <v>231</v>
      </c>
      <c r="J24" s="30" t="s">
        <v>232</v>
      </c>
    </row>
    <row r="25" spans="1:10" ht="210" x14ac:dyDescent="0.25">
      <c r="A25" t="s">
        <v>125</v>
      </c>
      <c r="B25" t="s">
        <v>233</v>
      </c>
      <c r="C25" t="s">
        <v>234</v>
      </c>
      <c r="D25" t="s">
        <v>177</v>
      </c>
      <c r="E25" t="s">
        <v>235</v>
      </c>
      <c r="F25" t="s">
        <v>236</v>
      </c>
      <c r="G25" t="s">
        <v>221</v>
      </c>
      <c r="H25" s="30" t="s">
        <v>237</v>
      </c>
      <c r="I25" s="30" t="s">
        <v>238</v>
      </c>
      <c r="J25" s="30" t="s">
        <v>239</v>
      </c>
    </row>
    <row r="26" spans="1:10" ht="89.25" x14ac:dyDescent="0.25">
      <c r="A26" s="31" t="s">
        <v>240</v>
      </c>
      <c r="B26" s="32" t="s">
        <v>241</v>
      </c>
      <c r="C26" s="33" t="s">
        <v>242</v>
      </c>
      <c r="D26" s="31" t="s">
        <v>243</v>
      </c>
      <c r="E26" s="33" t="s">
        <v>244</v>
      </c>
      <c r="F26" s="33" t="s">
        <v>245</v>
      </c>
      <c r="G26" s="33" t="s">
        <v>246</v>
      </c>
      <c r="H26" s="33" t="s">
        <v>247</v>
      </c>
      <c r="I26" s="33" t="s">
        <v>248</v>
      </c>
      <c r="J26" s="33" t="s">
        <v>306</v>
      </c>
    </row>
    <row r="27" spans="1:10" ht="76.5" x14ac:dyDescent="0.25">
      <c r="A27" s="34" t="s">
        <v>240</v>
      </c>
      <c r="B27" s="35" t="s">
        <v>47</v>
      </c>
      <c r="C27" s="36" t="s">
        <v>249</v>
      </c>
      <c r="D27" s="34" t="s">
        <v>243</v>
      </c>
      <c r="E27" s="36" t="s">
        <v>250</v>
      </c>
      <c r="F27" s="36" t="s">
        <v>251</v>
      </c>
      <c r="G27" s="36" t="s">
        <v>252</v>
      </c>
      <c r="H27" s="36" t="s">
        <v>253</v>
      </c>
      <c r="I27" s="36" t="s">
        <v>254</v>
      </c>
      <c r="J27" s="36" t="s">
        <v>307</v>
      </c>
    </row>
    <row r="28" spans="1:10" ht="76.5" x14ac:dyDescent="0.25">
      <c r="A28" s="31" t="s">
        <v>240</v>
      </c>
      <c r="B28" s="32" t="s">
        <v>255</v>
      </c>
      <c r="C28" s="33" t="s">
        <v>256</v>
      </c>
      <c r="D28" s="31" t="s">
        <v>243</v>
      </c>
      <c r="E28" s="33" t="s">
        <v>257</v>
      </c>
      <c r="F28" s="33" t="s">
        <v>258</v>
      </c>
      <c r="G28" s="33" t="s">
        <v>259</v>
      </c>
      <c r="H28" s="33" t="s">
        <v>260</v>
      </c>
      <c r="I28" s="33" t="s">
        <v>261</v>
      </c>
      <c r="J28" s="33" t="s">
        <v>308</v>
      </c>
    </row>
    <row r="29" spans="1:10" ht="89.25" x14ac:dyDescent="0.25">
      <c r="A29" s="34" t="s">
        <v>240</v>
      </c>
      <c r="B29" s="35" t="s">
        <v>31</v>
      </c>
      <c r="C29" s="36" t="s">
        <v>262</v>
      </c>
      <c r="D29" s="34" t="s">
        <v>243</v>
      </c>
      <c r="E29" s="36" t="s">
        <v>263</v>
      </c>
      <c r="F29" s="36" t="s">
        <v>264</v>
      </c>
      <c r="G29" s="36" t="s">
        <v>265</v>
      </c>
      <c r="H29" s="36" t="s">
        <v>266</v>
      </c>
      <c r="I29" s="36" t="s">
        <v>267</v>
      </c>
      <c r="J29" s="36" t="s">
        <v>309</v>
      </c>
    </row>
    <row r="30" spans="1:10" ht="102" x14ac:dyDescent="0.25">
      <c r="A30" s="31" t="s">
        <v>240</v>
      </c>
      <c r="B30" s="32" t="s">
        <v>268</v>
      </c>
      <c r="C30" s="33" t="s">
        <v>269</v>
      </c>
      <c r="D30" s="31" t="s">
        <v>243</v>
      </c>
      <c r="E30" s="33" t="s">
        <v>270</v>
      </c>
      <c r="F30" s="33" t="s">
        <v>271</v>
      </c>
      <c r="G30" s="33" t="s">
        <v>272</v>
      </c>
      <c r="H30" s="33" t="s">
        <v>273</v>
      </c>
      <c r="I30" s="33" t="s">
        <v>274</v>
      </c>
      <c r="J30" s="33" t="s">
        <v>310</v>
      </c>
    </row>
    <row r="31" spans="1:10" ht="89.25" x14ac:dyDescent="0.25">
      <c r="A31" s="34" t="s">
        <v>240</v>
      </c>
      <c r="B31" s="35" t="s">
        <v>31</v>
      </c>
      <c r="C31" s="36" t="s">
        <v>275</v>
      </c>
      <c r="D31" s="34" t="s">
        <v>243</v>
      </c>
      <c r="E31" s="36" t="s">
        <v>276</v>
      </c>
      <c r="F31" s="36" t="s">
        <v>277</v>
      </c>
      <c r="G31" s="36" t="s">
        <v>278</v>
      </c>
      <c r="H31" s="36" t="s">
        <v>279</v>
      </c>
      <c r="I31" s="36" t="s">
        <v>280</v>
      </c>
      <c r="J31" s="36" t="s">
        <v>311</v>
      </c>
    </row>
    <row r="32" spans="1:10" ht="89.25" x14ac:dyDescent="0.25">
      <c r="A32" s="31" t="s">
        <v>240</v>
      </c>
      <c r="B32" s="32" t="s">
        <v>47</v>
      </c>
      <c r="C32" s="33" t="s">
        <v>281</v>
      </c>
      <c r="D32" s="31" t="s">
        <v>243</v>
      </c>
      <c r="E32" s="33" t="s">
        <v>282</v>
      </c>
      <c r="F32" s="33" t="s">
        <v>283</v>
      </c>
      <c r="G32" s="33" t="s">
        <v>284</v>
      </c>
      <c r="H32" s="33" t="s">
        <v>285</v>
      </c>
      <c r="I32" s="33" t="s">
        <v>286</v>
      </c>
      <c r="J32" s="33" t="s">
        <v>312</v>
      </c>
    </row>
    <row r="33" spans="1:10" ht="76.5" x14ac:dyDescent="0.25">
      <c r="A33" s="34" t="s">
        <v>240</v>
      </c>
      <c r="B33" s="35" t="s">
        <v>287</v>
      </c>
      <c r="C33" s="36" t="s">
        <v>288</v>
      </c>
      <c r="D33" s="34" t="s">
        <v>243</v>
      </c>
      <c r="E33" s="36" t="s">
        <v>289</v>
      </c>
      <c r="F33" s="36" t="s">
        <v>290</v>
      </c>
      <c r="G33" s="36" t="s">
        <v>291</v>
      </c>
      <c r="H33" s="36" t="s">
        <v>292</v>
      </c>
      <c r="I33" s="36" t="s">
        <v>293</v>
      </c>
      <c r="J33" s="36" t="s">
        <v>313</v>
      </c>
    </row>
    <row r="34" spans="1:10" ht="63.75" x14ac:dyDescent="0.25">
      <c r="A34" s="31" t="s">
        <v>240</v>
      </c>
      <c r="B34" s="32" t="s">
        <v>13</v>
      </c>
      <c r="C34" s="33" t="s">
        <v>294</v>
      </c>
      <c r="D34" s="31" t="s">
        <v>243</v>
      </c>
      <c r="E34" s="33" t="s">
        <v>295</v>
      </c>
      <c r="F34" s="33" t="s">
        <v>296</v>
      </c>
      <c r="G34" s="33" t="s">
        <v>297</v>
      </c>
      <c r="H34" s="33" t="s">
        <v>298</v>
      </c>
      <c r="I34" s="33" t="s">
        <v>299</v>
      </c>
      <c r="J34" s="33" t="s">
        <v>314</v>
      </c>
    </row>
    <row r="35" spans="1:10" ht="89.25" x14ac:dyDescent="0.25">
      <c r="A35" s="34" t="s">
        <v>240</v>
      </c>
      <c r="B35" s="35" t="s">
        <v>47</v>
      </c>
      <c r="C35" s="36" t="s">
        <v>300</v>
      </c>
      <c r="D35" s="34" t="s">
        <v>243</v>
      </c>
      <c r="E35" s="36" t="s">
        <v>301</v>
      </c>
      <c r="F35" s="36" t="s">
        <v>302</v>
      </c>
      <c r="G35" s="36" t="s">
        <v>303</v>
      </c>
      <c r="H35" s="36" t="s">
        <v>304</v>
      </c>
      <c r="I35" s="36" t="s">
        <v>305</v>
      </c>
      <c r="J35" s="36" t="s">
        <v>315</v>
      </c>
    </row>
  </sheetData>
  <autoFilter ref="A4:J11" xr:uid="{00000000-0009-0000-0000-000000000000}"/>
  <mergeCells count="2">
    <mergeCell ref="A1:J1"/>
    <mergeCell ref="A2:J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
  <sheetViews>
    <sheetView workbookViewId="0">
      <pane ySplit="4" topLeftCell="A5" activePane="bottomLeft" state="frozen"/>
      <selection pane="bottomLeft"/>
    </sheetView>
  </sheetViews>
  <sheetFormatPr defaultRowHeight="15" x14ac:dyDescent="0.25"/>
  <cols>
    <col min="1" max="1" width="24" customWidth="1"/>
    <col min="2" max="2" width="22" customWidth="1"/>
    <col min="3" max="3" width="38" customWidth="1"/>
    <col min="4" max="4" width="28" customWidth="1"/>
    <col min="5" max="5" width="20" customWidth="1"/>
    <col min="6" max="6" width="18" customWidth="1"/>
    <col min="7" max="7" width="20" customWidth="1"/>
    <col min="8" max="9" width="18" customWidth="1"/>
    <col min="10" max="10" width="20" customWidth="1"/>
    <col min="11" max="11" width="48" customWidth="1"/>
  </cols>
  <sheetData>
    <row r="1" spans="1:11" ht="27.95" customHeight="1" x14ac:dyDescent="0.25">
      <c r="A1" s="27" t="s">
        <v>72</v>
      </c>
      <c r="B1" s="28"/>
      <c r="C1" s="28"/>
      <c r="D1" s="28"/>
      <c r="E1" s="28"/>
      <c r="F1" s="28"/>
      <c r="G1" s="28"/>
      <c r="H1" s="28"/>
      <c r="I1" s="28"/>
      <c r="J1" s="28"/>
      <c r="K1" s="28"/>
    </row>
    <row r="2" spans="1:11" ht="18" customHeight="1" x14ac:dyDescent="0.25">
      <c r="A2" s="29" t="s">
        <v>73</v>
      </c>
      <c r="B2" s="28"/>
      <c r="C2" s="28"/>
      <c r="D2" s="28"/>
      <c r="E2" s="28"/>
      <c r="F2" s="28"/>
      <c r="G2" s="28"/>
      <c r="H2" s="28"/>
      <c r="I2" s="28"/>
      <c r="J2" s="28"/>
      <c r="K2" s="28"/>
    </row>
    <row r="3" spans="1:11" ht="8.1" customHeight="1" x14ac:dyDescent="0.25"/>
    <row r="4" spans="1:11" ht="30" customHeight="1" x14ac:dyDescent="0.25">
      <c r="A4" s="1" t="s">
        <v>74</v>
      </c>
      <c r="B4" s="1" t="s">
        <v>3</v>
      </c>
      <c r="C4" s="1" t="s">
        <v>75</v>
      </c>
      <c r="D4" s="1" t="s">
        <v>76</v>
      </c>
      <c r="E4" s="1" t="s">
        <v>77</v>
      </c>
      <c r="F4" s="1" t="s">
        <v>78</v>
      </c>
      <c r="G4" s="1" t="s">
        <v>79</v>
      </c>
      <c r="H4" s="1" t="s">
        <v>80</v>
      </c>
      <c r="I4" s="1" t="s">
        <v>81</v>
      </c>
      <c r="J4" s="1" t="s">
        <v>82</v>
      </c>
      <c r="K4" s="1" t="s">
        <v>83</v>
      </c>
    </row>
    <row r="5" spans="1:11" ht="36" customHeight="1" x14ac:dyDescent="0.25">
      <c r="A5" s="11" t="s">
        <v>84</v>
      </c>
      <c r="B5" s="12" t="s">
        <v>13</v>
      </c>
      <c r="C5" s="11" t="s">
        <v>85</v>
      </c>
      <c r="D5" s="12" t="s">
        <v>86</v>
      </c>
      <c r="E5" s="13" t="s">
        <v>87</v>
      </c>
      <c r="F5" s="14">
        <v>8</v>
      </c>
      <c r="G5" s="14">
        <v>4</v>
      </c>
      <c r="H5" s="14">
        <v>4</v>
      </c>
      <c r="I5" s="14">
        <v>0</v>
      </c>
      <c r="J5" s="15">
        <f t="shared" ref="J5:J11" si="0">G5+H5</f>
        <v>8</v>
      </c>
      <c r="K5" s="12" t="s">
        <v>88</v>
      </c>
    </row>
    <row r="6" spans="1:11" ht="36" customHeight="1" x14ac:dyDescent="0.25">
      <c r="A6" s="16" t="s">
        <v>89</v>
      </c>
      <c r="B6" s="17" t="s">
        <v>22</v>
      </c>
      <c r="C6" s="16" t="s">
        <v>90</v>
      </c>
      <c r="D6" s="17" t="s">
        <v>91</v>
      </c>
      <c r="E6" s="13" t="s">
        <v>87</v>
      </c>
      <c r="F6" s="18">
        <v>3</v>
      </c>
      <c r="G6" s="18">
        <v>2</v>
      </c>
      <c r="H6" s="18">
        <v>0</v>
      </c>
      <c r="I6" s="18">
        <v>1</v>
      </c>
      <c r="J6" s="19">
        <f t="shared" si="0"/>
        <v>2</v>
      </c>
      <c r="K6" s="17" t="s">
        <v>92</v>
      </c>
    </row>
    <row r="7" spans="1:11" ht="36" customHeight="1" x14ac:dyDescent="0.25">
      <c r="A7" s="11" t="s">
        <v>93</v>
      </c>
      <c r="B7" s="12" t="s">
        <v>31</v>
      </c>
      <c r="C7" s="11" t="s">
        <v>94</v>
      </c>
      <c r="D7" s="12" t="s">
        <v>95</v>
      </c>
      <c r="E7" s="20" t="s">
        <v>96</v>
      </c>
      <c r="F7" s="14">
        <v>86</v>
      </c>
      <c r="G7" s="14">
        <v>20</v>
      </c>
      <c r="H7" s="14">
        <v>12</v>
      </c>
      <c r="I7" s="14">
        <v>54</v>
      </c>
      <c r="J7" s="15">
        <f t="shared" si="0"/>
        <v>32</v>
      </c>
      <c r="K7" s="12" t="s">
        <v>97</v>
      </c>
    </row>
    <row r="8" spans="1:11" ht="36" customHeight="1" x14ac:dyDescent="0.25">
      <c r="A8" s="16" t="s">
        <v>98</v>
      </c>
      <c r="B8" s="17" t="s">
        <v>31</v>
      </c>
      <c r="C8" s="16" t="s">
        <v>99</v>
      </c>
      <c r="D8" s="17" t="s">
        <v>100</v>
      </c>
      <c r="E8" s="20" t="s">
        <v>101</v>
      </c>
      <c r="F8" s="18">
        <v>3</v>
      </c>
      <c r="G8" s="18">
        <v>2</v>
      </c>
      <c r="H8" s="18">
        <v>1</v>
      </c>
      <c r="I8" s="18">
        <v>0</v>
      </c>
      <c r="J8" s="19">
        <f t="shared" si="0"/>
        <v>3</v>
      </c>
      <c r="K8" s="17" t="s">
        <v>102</v>
      </c>
    </row>
    <row r="9" spans="1:11" ht="36" customHeight="1" x14ac:dyDescent="0.25">
      <c r="A9" s="11" t="s">
        <v>103</v>
      </c>
      <c r="B9" s="12" t="s">
        <v>47</v>
      </c>
      <c r="C9" s="11" t="s">
        <v>104</v>
      </c>
      <c r="D9" s="12" t="s">
        <v>105</v>
      </c>
      <c r="E9" s="21" t="s">
        <v>106</v>
      </c>
      <c r="F9" s="14">
        <v>27</v>
      </c>
      <c r="G9" s="14">
        <v>0</v>
      </c>
      <c r="H9" s="14">
        <v>6</v>
      </c>
      <c r="I9" s="14">
        <v>21</v>
      </c>
      <c r="J9" s="15">
        <f t="shared" si="0"/>
        <v>6</v>
      </c>
      <c r="K9" s="12" t="s">
        <v>107</v>
      </c>
    </row>
    <row r="10" spans="1:11" ht="36" customHeight="1" x14ac:dyDescent="0.25">
      <c r="A10" s="16" t="s">
        <v>108</v>
      </c>
      <c r="B10" s="17" t="s">
        <v>47</v>
      </c>
      <c r="C10" s="16" t="s">
        <v>109</v>
      </c>
      <c r="D10" s="17" t="s">
        <v>110</v>
      </c>
      <c r="E10" s="22" t="s">
        <v>111</v>
      </c>
      <c r="F10" s="18">
        <v>6</v>
      </c>
      <c r="G10" s="18">
        <v>0</v>
      </c>
      <c r="H10" s="18">
        <v>3</v>
      </c>
      <c r="I10" s="18">
        <v>3</v>
      </c>
      <c r="J10" s="19">
        <f t="shared" si="0"/>
        <v>3</v>
      </c>
      <c r="K10" s="17" t="s">
        <v>112</v>
      </c>
    </row>
    <row r="11" spans="1:11" ht="36" customHeight="1" x14ac:dyDescent="0.25">
      <c r="A11" s="11" t="s">
        <v>113</v>
      </c>
      <c r="B11" s="12" t="s">
        <v>114</v>
      </c>
      <c r="C11" s="11" t="s">
        <v>115</v>
      </c>
      <c r="D11" s="12" t="s">
        <v>116</v>
      </c>
      <c r="E11" s="23" t="s">
        <v>117</v>
      </c>
      <c r="F11" s="14">
        <v>5</v>
      </c>
      <c r="G11" s="14">
        <v>0</v>
      </c>
      <c r="H11" s="14">
        <v>4</v>
      </c>
      <c r="I11" s="14">
        <v>1</v>
      </c>
      <c r="J11" s="15">
        <f t="shared" si="0"/>
        <v>4</v>
      </c>
      <c r="K11" s="12" t="s">
        <v>118</v>
      </c>
    </row>
    <row r="12" spans="1:11" ht="26.1" customHeight="1" x14ac:dyDescent="0.25">
      <c r="A12" s="24" t="s">
        <v>119</v>
      </c>
      <c r="B12" s="24" t="s">
        <v>120</v>
      </c>
      <c r="C12" s="24" t="s">
        <v>121</v>
      </c>
      <c r="D12" s="24" t="s">
        <v>122</v>
      </c>
      <c r="E12" s="25" t="s">
        <v>123</v>
      </c>
      <c r="F12" s="26">
        <f>SUM(F5:F11)</f>
        <v>138</v>
      </c>
      <c r="G12" s="26">
        <f>SUM(G5:G11)</f>
        <v>28</v>
      </c>
      <c r="H12" s="26">
        <f>SUM(H5:H11)</f>
        <v>30</v>
      </c>
      <c r="I12" s="26">
        <f>SUM(I5:I11)</f>
        <v>80</v>
      </c>
      <c r="J12" s="26">
        <f>SUM(J5:J11)</f>
        <v>58</v>
      </c>
      <c r="K12" s="24" t="s">
        <v>124</v>
      </c>
    </row>
  </sheetData>
  <mergeCells count="2">
    <mergeCell ref="A2:K2"/>
    <mergeCell ref="A1:K1"/>
  </mergeCells>
  <dataValidations count="1">
    <dataValidation type="list" sqref="E5:E11" xr:uid="{00000000-0002-0000-0100-000000000000}">
      <formula1>"Very High,High,Medium-to-High,Medium,Low-to-Medium,Low"</formula1>
    </dataValidation>
  </dataValidations>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Opportunity Tracker</vt:lpstr>
      <vt:lpstr>Opportunity Dashboard &amp; KPIs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Salam, Farhan</cp:lastModifiedBy>
  <dcterms:created xsi:type="dcterms:W3CDTF">2026-10-26T08:01:09Z</dcterms:created>
  <dcterms:modified xsi:type="dcterms:W3CDTF">2026-10-27T14:25:16Z</dcterms:modified>
</cp:coreProperties>
</file>